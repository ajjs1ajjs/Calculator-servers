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iiko\Desktop\IT_Enterprise\розрахунки\"/>
    </mc:Choice>
  </mc:AlternateContent>
  <xr:revisionPtr revIDLastSave="0" documentId="13_ncr:1_{9888FB41-20FE-4799-B886-5B2CDDBC15FF}" xr6:coauthVersionLast="47" xr6:coauthVersionMax="47" xr10:uidLastSave="{00000000-0000-0000-0000-000000000000}"/>
  <bookViews>
    <workbookView xWindow="4060" yWindow="2800" windowWidth="33300" windowHeight="15230" xr2:uid="{00000000-000D-0000-FFFF-FFFF00000000}"/>
  </bookViews>
  <sheets>
    <sheet name="Аркуш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A21" i="2"/>
  <c r="E20" i="2"/>
  <c r="A20" i="2"/>
  <c r="F19" i="2"/>
  <c r="E19" i="2"/>
  <c r="G18" i="2"/>
  <c r="E18" i="2"/>
  <c r="D18" i="2"/>
  <c r="C18" i="2"/>
  <c r="B18" i="2"/>
  <c r="A18" i="2"/>
  <c r="A17" i="2"/>
</calcChain>
</file>

<file path=xl/sharedStrings.xml><?xml version="1.0" encoding="utf-8"?>
<sst xmlns="http://schemas.openxmlformats.org/spreadsheetml/2006/main" count="51" uniqueCount="34">
  <si>
    <t>VM ОС Windows</t>
  </si>
  <si>
    <t>Роль</t>
  </si>
  <si>
    <t>Кількість</t>
  </si>
  <si>
    <t>CPU, ядра від 2.4 ГГц</t>
  </si>
  <si>
    <t>RAM, GB</t>
  </si>
  <si>
    <t>Disk</t>
  </si>
  <si>
    <t>MiB /s</t>
  </si>
  <si>
    <t>OS</t>
  </si>
  <si>
    <t>ОС</t>
  </si>
  <si>
    <t>LDF, TEMPDB</t>
  </si>
  <si>
    <t>MainData</t>
  </si>
  <si>
    <t>ContentData</t>
  </si>
  <si>
    <t>PageFile</t>
  </si>
  <si>
    <t>IOPS</t>
  </si>
  <si>
    <t>Latency &lt;=, mc</t>
  </si>
  <si>
    <t>Тип</t>
  </si>
  <si>
    <t>GB</t>
  </si>
  <si>
    <t>ssd</t>
  </si>
  <si>
    <t>sata</t>
  </si>
  <si>
    <t>50r/50w</t>
  </si>
  <si>
    <t>СКБД</t>
  </si>
  <si>
    <t>Сервери додатків</t>
  </si>
  <si>
    <t>&gt;=4</t>
  </si>
  <si>
    <t>Web-сервери</t>
  </si>
  <si>
    <t>&gt;=2</t>
  </si>
  <si>
    <t>Windows 2022/2025</t>
  </si>
  <si>
    <t>&gt;=300</t>
  </si>
  <si>
    <t>70r/30w</t>
  </si>
  <si>
    <t>Значення</t>
  </si>
  <si>
    <t>Кількість конкурентних ліцензій</t>
  </si>
  <si>
    <t>Перелік VM</t>
  </si>
  <si>
    <t>Ubuntu 24.04 LTS</t>
  </si>
  <si>
    <t>SQL</t>
  </si>
  <si>
    <t>Microsoft SQL Server 2019/2022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</si>
</sst>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rgb="FF000000"/>
      <name val="Calibri"/>
      <scheme val="minor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000000"/>
      </patternFill>
    </fill>
    <fill>
      <patternFill patternType="solid">
        <fgColor rgb="FFF2F2F2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7" fillId="0" borderId="17" xfId="0" applyFont="1" applyBorder="1"/>
    <xf numFmtId="0" fontId="0" fillId="0" borderId="17" xfId="0" applyBorder="1"/>
    <xf numFmtId="0" fontId="0" fillId="0" borderId="17" xfId="0" applyBorder="1" applyAlignment="1">
      <alignment horizontal="right" vertical="center"/>
    </xf>
    <xf numFmtId="0" fontId="4" fillId="0" borderId="17" xfId="0" applyFont="1" applyBorder="1"/>
    <xf numFmtId="0" fontId="4" fillId="0" borderId="17" xfId="0" applyFont="1" applyBorder="1" applyAlignment="1">
      <alignment horizontal="right"/>
    </xf>
    <xf numFmtId="0" fontId="4" fillId="0" borderId="17" xfId="0" applyFont="1" applyBorder="1" applyAlignment="1">
      <alignment horizontal="center" vertical="center"/>
    </xf>
    <xf numFmtId="0" fontId="7" fillId="0" borderId="27" xfId="0" applyFont="1" applyBorder="1"/>
    <xf numFmtId="0" fontId="0" fillId="0" borderId="27" xfId="0" applyBorder="1" applyAlignment="1">
      <alignment horizontal="right"/>
    </xf>
    <xf numFmtId="0" fontId="4" fillId="0" borderId="27" xfId="0" applyFont="1" applyBorder="1" applyAlignment="1">
      <alignment horizontal="right"/>
    </xf>
    <xf numFmtId="0" fontId="4" fillId="0" borderId="27" xfId="0" applyFont="1" applyBorder="1"/>
    <xf numFmtId="0" fontId="4" fillId="0" borderId="27" xfId="0" applyFont="1" applyBorder="1" applyAlignment="1">
      <alignment horizontal="center" vertical="center"/>
    </xf>
    <xf numFmtId="0" fontId="0" fillId="0" borderId="27" xfId="0" applyBorder="1"/>
    <xf numFmtId="0" fontId="4" fillId="0" borderId="27" xfId="0" applyFont="1" applyBorder="1" applyAlignment="1">
      <alignment horizontal="center"/>
    </xf>
    <xf numFmtId="0" fontId="1" fillId="0" borderId="0" xfId="1"/>
    <xf numFmtId="0" fontId="4" fillId="0" borderId="28" xfId="1" applyFont="1" applyBorder="1"/>
    <xf numFmtId="0" fontId="7" fillId="0" borderId="9" xfId="1" applyFont="1" applyBorder="1"/>
    <xf numFmtId="0" fontId="3" fillId="0" borderId="11" xfId="1" applyFont="1" applyBorder="1"/>
    <xf numFmtId="0" fontId="3" fillId="2" borderId="29" xfId="1" applyFont="1" applyFill="1" applyBorder="1"/>
    <xf numFmtId="0" fontId="5" fillId="3" borderId="5" xfId="1" applyFont="1" applyFill="1" applyBorder="1" applyAlignment="1">
      <alignment horizontal="left" vertical="center"/>
    </xf>
    <xf numFmtId="0" fontId="5" fillId="3" borderId="30" xfId="1" applyFont="1" applyFill="1" applyBorder="1" applyAlignment="1">
      <alignment horizontal="left" vertical="center"/>
    </xf>
    <xf numFmtId="0" fontId="5" fillId="3" borderId="9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left" vertical="center"/>
    </xf>
    <xf numFmtId="0" fontId="5" fillId="3" borderId="26" xfId="1" applyFont="1" applyFill="1" applyBorder="1" applyAlignment="1">
      <alignment horizontal="left" vertical="center"/>
    </xf>
    <xf numFmtId="0" fontId="7" fillId="0" borderId="27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0" xfId="0" applyFont="1"/>
    <xf numFmtId="0" fontId="3" fillId="0" borderId="4" xfId="0" applyFont="1" applyBorder="1"/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</cellXfs>
  <cellStyles count="2">
    <cellStyle name="Звичайний" xfId="0" builtinId="0"/>
    <cellStyle name="Звичайний 2" xfId="1" xr:uid="{E331C4D3-53A0-46EB-A0B8-FAAF83063779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1340-A86B-493F-A3B5-EEBFF521C012}">
  <dimension ref="A1:T21"/>
  <sheetViews>
    <sheetView tabSelected="1" workbookViewId="0">
      <selection activeCell="T20" sqref="T20"/>
    </sheetView>
  </sheetViews>
  <sheetFormatPr defaultRowHeight="14.5" x14ac:dyDescent="0.35"/>
  <cols>
    <col min="1" max="1" width="29.90625" bestFit="1" customWidth="1"/>
    <col min="2" max="2" width="21.81640625" bestFit="1" customWidth="1"/>
    <col min="3" max="3" width="20.1796875" bestFit="1" customWidth="1"/>
    <col min="4" max="4" width="8.6328125" bestFit="1" customWidth="1"/>
    <col min="7" max="7" width="15.26953125" bestFit="1" customWidth="1"/>
    <col min="17" max="17" width="14.08984375" bestFit="1" customWidth="1"/>
    <col min="19" max="19" width="17.36328125" bestFit="1" customWidth="1"/>
    <col min="20" max="20" width="37.453125" bestFit="1" customWidth="1"/>
  </cols>
  <sheetData>
    <row r="1" spans="1:20" ht="15" thickBot="1" x14ac:dyDescent="0.4">
      <c r="A1" s="19"/>
      <c r="B1" s="20" t="s">
        <v>28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20" ht="15" thickBot="1" x14ac:dyDescent="0.4">
      <c r="A2" s="21" t="s">
        <v>29</v>
      </c>
      <c r="B2" s="22">
        <v>30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20" x14ac:dyDescent="0.35">
      <c r="A3" s="23" t="s">
        <v>30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5"/>
    </row>
    <row r="4" spans="1:20" ht="15" thickBot="1" x14ac:dyDescent="0.4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</row>
    <row r="6" spans="1:20" ht="15" thickBot="1" x14ac:dyDescent="0.4">
      <c r="A6" s="1" t="s">
        <v>0</v>
      </c>
      <c r="B6" s="2"/>
      <c r="C6" s="2"/>
      <c r="D6" s="2"/>
    </row>
    <row r="7" spans="1:20" x14ac:dyDescent="0.35">
      <c r="A7" s="53" t="s">
        <v>1</v>
      </c>
      <c r="B7" s="53" t="s">
        <v>2</v>
      </c>
      <c r="C7" s="56" t="s">
        <v>3</v>
      </c>
      <c r="D7" s="59" t="s">
        <v>4</v>
      </c>
      <c r="E7" s="62" t="s">
        <v>5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4"/>
      <c r="R7" s="51" t="s">
        <v>6</v>
      </c>
      <c r="S7" s="37" t="s">
        <v>7</v>
      </c>
      <c r="T7" s="37" t="s">
        <v>32</v>
      </c>
    </row>
    <row r="8" spans="1:20" x14ac:dyDescent="0.35">
      <c r="A8" s="54"/>
      <c r="B8" s="54"/>
      <c r="C8" s="57"/>
      <c r="D8" s="60"/>
      <c r="E8" s="39" t="s">
        <v>8</v>
      </c>
      <c r="F8" s="40"/>
      <c r="G8" s="41" t="s">
        <v>9</v>
      </c>
      <c r="H8" s="42"/>
      <c r="I8" s="43" t="s">
        <v>10</v>
      </c>
      <c r="J8" s="44"/>
      <c r="K8" s="45" t="s">
        <v>11</v>
      </c>
      <c r="L8" s="45"/>
      <c r="M8" s="45" t="s">
        <v>12</v>
      </c>
      <c r="N8" s="45"/>
      <c r="O8" s="46" t="s">
        <v>13</v>
      </c>
      <c r="P8" s="47"/>
      <c r="Q8" s="50" t="s">
        <v>14</v>
      </c>
      <c r="R8" s="52"/>
      <c r="S8" s="38"/>
      <c r="T8" s="38"/>
    </row>
    <row r="9" spans="1:20" ht="15" thickBot="1" x14ac:dyDescent="0.4">
      <c r="A9" s="55"/>
      <c r="B9" s="55"/>
      <c r="C9" s="58"/>
      <c r="D9" s="61"/>
      <c r="E9" s="3" t="s">
        <v>15</v>
      </c>
      <c r="F9" s="4" t="s">
        <v>16</v>
      </c>
      <c r="G9" s="4" t="s">
        <v>15</v>
      </c>
      <c r="H9" s="4" t="s">
        <v>16</v>
      </c>
      <c r="I9" s="4" t="s">
        <v>15</v>
      </c>
      <c r="J9" s="4" t="s">
        <v>16</v>
      </c>
      <c r="K9" s="4" t="s">
        <v>15</v>
      </c>
      <c r="L9" s="4" t="s">
        <v>16</v>
      </c>
      <c r="M9" s="4" t="s">
        <v>15</v>
      </c>
      <c r="N9" s="4" t="s">
        <v>16</v>
      </c>
      <c r="O9" s="48"/>
      <c r="P9" s="49"/>
      <c r="Q9" s="65"/>
      <c r="R9" s="52"/>
      <c r="S9" s="38"/>
      <c r="T9" s="38"/>
    </row>
    <row r="10" spans="1:20" x14ac:dyDescent="0.35">
      <c r="A10" s="5" t="s">
        <v>20</v>
      </c>
      <c r="B10" s="6">
        <v>1</v>
      </c>
      <c r="C10" s="7">
        <v>6</v>
      </c>
      <c r="D10" s="8">
        <v>24</v>
      </c>
      <c r="E10" s="9" t="s">
        <v>17</v>
      </c>
      <c r="F10" s="8">
        <v>150</v>
      </c>
      <c r="G10" s="10" t="s">
        <v>17</v>
      </c>
      <c r="H10" s="10">
        <v>100</v>
      </c>
      <c r="I10" s="10" t="s">
        <v>17</v>
      </c>
      <c r="J10" s="10">
        <v>200</v>
      </c>
      <c r="K10" s="6" t="s">
        <v>18</v>
      </c>
      <c r="L10" s="6">
        <v>300</v>
      </c>
      <c r="M10" s="6"/>
      <c r="N10" s="6"/>
      <c r="O10" s="10" t="s">
        <v>19</v>
      </c>
      <c r="P10" s="10" t="s">
        <v>26</v>
      </c>
      <c r="Q10" s="16">
        <v>5</v>
      </c>
      <c r="R10" s="16">
        <v>160</v>
      </c>
      <c r="S10" s="14" t="s">
        <v>25</v>
      </c>
      <c r="T10" s="16" t="s">
        <v>33</v>
      </c>
    </row>
    <row r="11" spans="1:20" x14ac:dyDescent="0.35">
      <c r="A11" s="11" t="s">
        <v>21</v>
      </c>
      <c r="B11" s="12">
        <v>1</v>
      </c>
      <c r="C11" s="13" t="s">
        <v>22</v>
      </c>
      <c r="D11" s="14">
        <v>24</v>
      </c>
      <c r="E11" s="13" t="s">
        <v>17</v>
      </c>
      <c r="F11" s="14">
        <v>150</v>
      </c>
      <c r="G11" s="15"/>
      <c r="H11" s="15"/>
      <c r="I11" s="15"/>
      <c r="J11" s="15"/>
      <c r="K11" s="16"/>
      <c r="L11" s="16"/>
      <c r="M11" s="12" t="s">
        <v>17</v>
      </c>
      <c r="N11" s="16">
        <v>96</v>
      </c>
      <c r="O11" s="15"/>
      <c r="P11" s="15"/>
      <c r="Q11" s="16"/>
      <c r="R11" s="16"/>
      <c r="S11" s="14" t="s">
        <v>25</v>
      </c>
      <c r="T11" s="16"/>
    </row>
    <row r="12" spans="1:20" x14ac:dyDescent="0.35">
      <c r="A12" s="11" t="s">
        <v>23</v>
      </c>
      <c r="B12" s="12">
        <v>1</v>
      </c>
      <c r="C12" s="13" t="s">
        <v>24</v>
      </c>
      <c r="D12" s="14">
        <v>8</v>
      </c>
      <c r="E12" s="13" t="s">
        <v>18</v>
      </c>
      <c r="F12" s="14">
        <v>150</v>
      </c>
      <c r="G12" s="14"/>
      <c r="H12" s="14"/>
      <c r="I12" s="14"/>
      <c r="J12" s="14"/>
      <c r="K12" s="16"/>
      <c r="L12" s="16"/>
      <c r="M12" s="12" t="s">
        <v>17</v>
      </c>
      <c r="N12" s="16">
        <v>32</v>
      </c>
      <c r="O12" s="17" t="s">
        <v>27</v>
      </c>
      <c r="P12" s="17">
        <v>200</v>
      </c>
      <c r="Q12" s="16"/>
      <c r="R12" s="16"/>
      <c r="S12" s="11" t="s">
        <v>25</v>
      </c>
      <c r="T12" s="16"/>
    </row>
    <row r="16" spans="1:20" ht="15" thickBot="1" x14ac:dyDescent="0.4"/>
    <row r="17" spans="1:7" ht="15" thickBot="1" x14ac:dyDescent="0.4">
      <c r="A17" s="36" t="str">
        <f>IF(OR($C$3="Kubernetes",$C$4&lt;&gt;"Ні"),"VM Kubernetes","")</f>
        <v>VM Kubernetes</v>
      </c>
      <c r="B17" s="35"/>
      <c r="C17" s="35"/>
      <c r="D17" s="35"/>
      <c r="E17" s="35"/>
      <c r="F17" s="35"/>
      <c r="G17" s="35"/>
    </row>
    <row r="18" spans="1:7" ht="15" thickBot="1" x14ac:dyDescent="0.4">
      <c r="A18" s="31" t="str">
        <f>IF(OR($C$3="Kubernetes",$C$4&lt;&gt;"Ні"),"Роль","")</f>
        <v>Роль</v>
      </c>
      <c r="B18" s="32" t="str">
        <f>IF(OR($C$3="Kubernetes",$C$4&lt;&gt;"Ні"),"Кількість нод","")</f>
        <v>Кількість нод</v>
      </c>
      <c r="C18" s="32" t="str">
        <f>IF(OR($C$3="Kubernetes",$C$4&lt;&gt;"Ні"),"CPU, ядра від 2.4 ГГц","")</f>
        <v>CPU, ядра від 2.4 ГГц</v>
      </c>
      <c r="D18" s="32" t="str">
        <f>IF(OR($C$3="Kubernetes",$C$4&lt;&gt;"Ні"),"RAM, GB","")</f>
        <v>RAM, GB</v>
      </c>
      <c r="E18" s="33" t="str">
        <f>IF(OR($C$3="Kubernetes",$C$4&lt;&gt;"Ні"),"Disk","")</f>
        <v>Disk</v>
      </c>
      <c r="F18" s="33"/>
      <c r="G18" s="34" t="str">
        <f>IF(OR($C$3="Kubernetes",$C$4&lt;&gt;"Ні"),"OS","")</f>
        <v>OS</v>
      </c>
    </row>
    <row r="19" spans="1:7" x14ac:dyDescent="0.35">
      <c r="A19" s="30"/>
      <c r="B19" s="30"/>
      <c r="C19" s="30"/>
      <c r="D19" s="30"/>
      <c r="E19" s="30" t="str">
        <f>IF(OR($C$3="Kubernetes",$C$4&lt;&gt;"Ні"),"Тип","")</f>
        <v>Тип</v>
      </c>
      <c r="F19" s="30" t="str">
        <f>IF(OR($C$3="Kubernetes",$C$4&lt;&gt;"Ні"),"GB","")</f>
        <v>GB</v>
      </c>
      <c r="G19" s="30"/>
    </row>
    <row r="20" spans="1:7" x14ac:dyDescent="0.35">
      <c r="A20" s="14" t="str">
        <f>IF(OR($C$3="Kubernetes",$C$4&lt;&gt;"Ні"),"Мастер нода","")</f>
        <v>Мастер нода</v>
      </c>
      <c r="B20" s="14">
        <v>1</v>
      </c>
      <c r="C20" s="14">
        <v>2</v>
      </c>
      <c r="D20" s="14">
        <v>4</v>
      </c>
      <c r="E20" s="13" t="str">
        <f>IF(OR($C$3="Kubernetes",$C$4&lt;&gt;"Ні"),"ssd","")</f>
        <v>ssd</v>
      </c>
      <c r="F20" s="14">
        <v>100</v>
      </c>
      <c r="G20" s="29" t="s">
        <v>31</v>
      </c>
    </row>
    <row r="21" spans="1:7" x14ac:dyDescent="0.35">
      <c r="A21" s="11" t="str">
        <f>IF(OR($C$3="Kubernetes",$C$4&lt;&gt;"Ні"),"Робоча нода","")</f>
        <v>Робоча нода</v>
      </c>
      <c r="B21" s="14">
        <v>2</v>
      </c>
      <c r="C21" s="14">
        <v>4</v>
      </c>
      <c r="D21" s="14">
        <v>16</v>
      </c>
      <c r="E21" s="13" t="str">
        <f>IF(OR($C$3="Kubernetes",$C$4&lt;&gt;"Ні"),"ssd","")</f>
        <v>ssd</v>
      </c>
      <c r="F21" s="14">
        <v>150</v>
      </c>
      <c r="G21" s="29" t="s">
        <v>31</v>
      </c>
    </row>
  </sheetData>
  <mergeCells count="15">
    <mergeCell ref="T7:T9"/>
    <mergeCell ref="A7:A9"/>
    <mergeCell ref="B7:B9"/>
    <mergeCell ref="C7:C9"/>
    <mergeCell ref="D7:D9"/>
    <mergeCell ref="E7:Q7"/>
    <mergeCell ref="S7:S9"/>
    <mergeCell ref="E8:F8"/>
    <mergeCell ref="G8:H8"/>
    <mergeCell ref="I8:J8"/>
    <mergeCell ref="K8:L8"/>
    <mergeCell ref="M8:N8"/>
    <mergeCell ref="O8:P9"/>
    <mergeCell ref="Q8:Q9"/>
    <mergeCell ref="R7:R9"/>
  </mergeCells>
  <conditionalFormatting sqref="A17:G21">
    <cfRule type="expression" dxfId="0" priority="3">
      <formula>$B$25&lt;&gt;""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andriiko</dc:creator>
  <cp:lastModifiedBy>Андрійко Олександр</cp:lastModifiedBy>
  <dcterms:created xsi:type="dcterms:W3CDTF">2015-06-05T18:19:34Z</dcterms:created>
  <dcterms:modified xsi:type="dcterms:W3CDTF">2026-04-30T10:14:53Z</dcterms:modified>
</cp:coreProperties>
</file>