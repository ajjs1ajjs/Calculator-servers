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iko\Desktop\IT_Enterprise\розрахунки\"/>
    </mc:Choice>
  </mc:AlternateContent>
  <xr:revisionPtr revIDLastSave="0" documentId="13_ncr:1_{43A6E600-6367-4595-8CDE-A39AEA8CCC60}" xr6:coauthVersionLast="47" xr6:coauthVersionMax="47" xr10:uidLastSave="{00000000-0000-0000-0000-000000000000}"/>
  <bookViews>
    <workbookView xWindow="63120" yWindow="7740" windowWidth="28800" windowHeight="15225" xr2:uid="{9CB48E7B-EF9E-40C3-B456-CE8CDECADE86}"/>
  </bookViews>
  <sheets>
    <sheet name="windows + kubernetes" sheetId="1" r:id="rId1"/>
    <sheet name="Kuberne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" i="2" l="1"/>
  <c r="M9" i="2"/>
  <c r="G21" i="1"/>
  <c r="A21" i="1"/>
  <c r="A17" i="1"/>
  <c r="A16" i="1"/>
  <c r="G14" i="1"/>
  <c r="A14" i="1"/>
  <c r="A13" i="1"/>
  <c r="A15" i="2" l="1"/>
  <c r="A13" i="2"/>
  <c r="G13" i="2"/>
  <c r="A12" i="2"/>
  <c r="A16" i="2"/>
</calcChain>
</file>

<file path=xl/sharedStrings.xml><?xml version="1.0" encoding="utf-8"?>
<sst xmlns="http://schemas.openxmlformats.org/spreadsheetml/2006/main" count="114" uniqueCount="36">
  <si>
    <t>VM ОС Windows</t>
  </si>
  <si>
    <t>Роль</t>
  </si>
  <si>
    <t>Кількість</t>
  </si>
  <si>
    <t>CPU, ядра від 2.4 ГГц</t>
  </si>
  <si>
    <t>RAM, GB</t>
  </si>
  <si>
    <t>Disk</t>
  </si>
  <si>
    <t>MiB /s</t>
  </si>
  <si>
    <t>OS</t>
  </si>
  <si>
    <t>ОС</t>
  </si>
  <si>
    <t>LDF, TEMPDB</t>
  </si>
  <si>
    <t>MainData</t>
  </si>
  <si>
    <t>ContentData</t>
  </si>
  <si>
    <t>PageFile</t>
  </si>
  <si>
    <t>IOPS</t>
  </si>
  <si>
    <t>Latency &lt;=, mc</t>
  </si>
  <si>
    <t>Тип</t>
  </si>
  <si>
    <t>GB</t>
  </si>
  <si>
    <t>СКБД</t>
  </si>
  <si>
    <t>ssd</t>
  </si>
  <si>
    <t>sata</t>
  </si>
  <si>
    <t>50r/50w</t>
  </si>
  <si>
    <t>Сервери додатків</t>
  </si>
  <si>
    <t>&gt;=2</t>
  </si>
  <si>
    <t>Web-сервери</t>
  </si>
  <si>
    <t>150</t>
  </si>
  <si>
    <t>70r/30w</t>
  </si>
  <si>
    <t>200</t>
  </si>
  <si>
    <t>Кількість конкурентних ліцензій</t>
  </si>
  <si>
    <t>Windows 2022/2025</t>
  </si>
  <si>
    <t>Ubuntu 24.04 LTS</t>
  </si>
  <si>
    <t>&gt;=250</t>
  </si>
  <si>
    <t>VM Linux</t>
  </si>
  <si>
    <t>Кількість нод</t>
  </si>
  <si>
    <t>Haproxy</t>
  </si>
  <si>
    <t>Сервер звітів (опціонально)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</si>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</sst>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Aptos Narrow"/>
      <scheme val="minor"/>
    </font>
    <font>
      <sz val="10"/>
      <color rgb="FF000000"/>
      <name val="Arial"/>
      <family val="2"/>
      <charset val="204"/>
    </font>
    <font>
      <sz val="8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000000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7" xfId="0" applyFont="1" applyBorder="1"/>
    <xf numFmtId="0" fontId="0" fillId="0" borderId="17" xfId="0" applyBorder="1"/>
    <xf numFmtId="0" fontId="0" fillId="0" borderId="17" xfId="0" applyBorder="1" applyAlignment="1">
      <alignment horizontal="right" vertical="center"/>
    </xf>
    <xf numFmtId="0" fontId="3" fillId="0" borderId="17" xfId="0" applyFont="1" applyBorder="1"/>
    <xf numFmtId="0" fontId="3" fillId="0" borderId="17" xfId="0" applyFont="1" applyBorder="1" applyAlignment="1">
      <alignment horizontal="right"/>
    </xf>
    <xf numFmtId="0" fontId="3" fillId="0" borderId="17" xfId="0" applyFont="1" applyBorder="1" applyAlignment="1">
      <alignment horizontal="center" vertical="center"/>
    </xf>
    <xf numFmtId="0" fontId="6" fillId="0" borderId="28" xfId="0" applyFont="1" applyBorder="1"/>
    <xf numFmtId="0" fontId="0" fillId="0" borderId="28" xfId="0" applyBorder="1" applyAlignment="1">
      <alignment horizontal="right"/>
    </xf>
    <xf numFmtId="0" fontId="3" fillId="0" borderId="28" xfId="0" applyFont="1" applyBorder="1" applyAlignment="1">
      <alignment horizontal="right"/>
    </xf>
    <xf numFmtId="0" fontId="3" fillId="0" borderId="28" xfId="0" applyFont="1" applyBorder="1"/>
    <xf numFmtId="0" fontId="3" fillId="0" borderId="28" xfId="0" applyFont="1" applyBorder="1" applyAlignment="1">
      <alignment horizontal="center" vertical="center"/>
    </xf>
    <xf numFmtId="0" fontId="0" fillId="0" borderId="28" xfId="0" applyBorder="1"/>
    <xf numFmtId="0" fontId="3" fillId="0" borderId="28" xfId="0" applyFont="1" applyBorder="1" applyAlignment="1">
      <alignment horizontal="center"/>
    </xf>
    <xf numFmtId="0" fontId="2" fillId="0" borderId="11" xfId="0" applyFont="1" applyBorder="1"/>
    <xf numFmtId="0" fontId="2" fillId="2" borderId="29" xfId="0" applyFont="1" applyFill="1" applyBorder="1"/>
    <xf numFmtId="0" fontId="2" fillId="0" borderId="28" xfId="0" applyFont="1" applyBorder="1"/>
    <xf numFmtId="0" fontId="2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6" fillId="0" borderId="28" xfId="0" applyFont="1" applyBorder="1" applyAlignment="1">
      <alignment vertical="center"/>
    </xf>
    <xf numFmtId="0" fontId="6" fillId="0" borderId="0" xfId="0" applyFont="1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6" fillId="3" borderId="28" xfId="0" applyFont="1" applyFill="1" applyBorder="1"/>
    <xf numFmtId="0" fontId="8" fillId="3" borderId="30" xfId="0" applyFont="1" applyFill="1" applyBorder="1" applyAlignment="1">
      <alignment horizontal="right"/>
    </xf>
    <xf numFmtId="0" fontId="3" fillId="3" borderId="30" xfId="0" applyFont="1" applyFill="1" applyBorder="1" applyAlignment="1">
      <alignment horizontal="right"/>
    </xf>
    <xf numFmtId="0" fontId="3" fillId="3" borderId="30" xfId="0" applyFont="1" applyFill="1" applyBorder="1"/>
    <xf numFmtId="0" fontId="3" fillId="3" borderId="28" xfId="0" applyFont="1" applyFill="1" applyBorder="1" applyAlignment="1">
      <alignment horizontal="right"/>
    </xf>
    <xf numFmtId="0" fontId="3" fillId="3" borderId="28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</cellXfs>
  <cellStyles count="1">
    <cellStyle name="Звичайний" xfId="0" builtinId="0"/>
  </cellStyles>
  <dxfs count="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744E-5701-40EE-85FC-5F835E66CDF3}">
  <dimension ref="A2:S23"/>
  <sheetViews>
    <sheetView tabSelected="1" workbookViewId="0">
      <selection activeCell="E21" sqref="E21"/>
    </sheetView>
  </sheetViews>
  <sheetFormatPr defaultRowHeight="14.5" x14ac:dyDescent="0.35"/>
  <cols>
    <col min="1" max="1" width="31.6328125" customWidth="1"/>
    <col min="2" max="2" width="15.1796875" customWidth="1"/>
    <col min="3" max="3" width="19.453125" bestFit="1" customWidth="1"/>
    <col min="7" max="7" width="15.26953125" bestFit="1" customWidth="1"/>
    <col min="19" max="19" width="17.36328125" bestFit="1" customWidth="1"/>
  </cols>
  <sheetData>
    <row r="2" spans="1:19" ht="15" thickBot="1" x14ac:dyDescent="0.4"/>
    <row r="3" spans="1:19" x14ac:dyDescent="0.35">
      <c r="A3" s="20" t="s">
        <v>27</v>
      </c>
      <c r="B3" s="21">
        <v>20</v>
      </c>
    </row>
    <row r="4" spans="1:19" ht="15" thickBot="1" x14ac:dyDescent="0.4">
      <c r="A4" s="1" t="s">
        <v>0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4"/>
    </row>
    <row r="5" spans="1:19" x14ac:dyDescent="0.35">
      <c r="A5" s="56" t="s">
        <v>1</v>
      </c>
      <c r="B5" s="56" t="s">
        <v>2</v>
      </c>
      <c r="C5" s="59" t="s">
        <v>3</v>
      </c>
      <c r="D5" s="36" t="s">
        <v>4</v>
      </c>
      <c r="E5" s="62" t="s">
        <v>5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  <c r="R5" s="53" t="s">
        <v>6</v>
      </c>
      <c r="S5" s="36" t="s">
        <v>7</v>
      </c>
    </row>
    <row r="6" spans="1:19" x14ac:dyDescent="0.35">
      <c r="A6" s="57"/>
      <c r="B6" s="57"/>
      <c r="C6" s="60"/>
      <c r="D6" s="37"/>
      <c r="E6" s="39" t="s">
        <v>8</v>
      </c>
      <c r="F6" s="40"/>
      <c r="G6" s="41" t="s">
        <v>9</v>
      </c>
      <c r="H6" s="42"/>
      <c r="I6" s="43" t="s">
        <v>10</v>
      </c>
      <c r="J6" s="44"/>
      <c r="K6" s="45" t="s">
        <v>11</v>
      </c>
      <c r="L6" s="46"/>
      <c r="M6" s="45" t="s">
        <v>12</v>
      </c>
      <c r="N6" s="46"/>
      <c r="O6" s="47" t="s">
        <v>13</v>
      </c>
      <c r="P6" s="48"/>
      <c r="Q6" s="51" t="s">
        <v>14</v>
      </c>
      <c r="R6" s="54"/>
      <c r="S6" s="37"/>
    </row>
    <row r="7" spans="1:19" ht="15" thickBot="1" x14ac:dyDescent="0.4">
      <c r="A7" s="58"/>
      <c r="B7" s="58"/>
      <c r="C7" s="61"/>
      <c r="D7" s="38"/>
      <c r="E7" s="5" t="s">
        <v>15</v>
      </c>
      <c r="F7" s="6" t="s">
        <v>16</v>
      </c>
      <c r="G7" s="6" t="s">
        <v>15</v>
      </c>
      <c r="H7" s="6" t="s">
        <v>16</v>
      </c>
      <c r="I7" s="6" t="s">
        <v>15</v>
      </c>
      <c r="J7" s="6" t="s">
        <v>16</v>
      </c>
      <c r="K7" s="6" t="s">
        <v>15</v>
      </c>
      <c r="L7" s="6" t="s">
        <v>16</v>
      </c>
      <c r="M7" s="6" t="s">
        <v>15</v>
      </c>
      <c r="N7" s="6" t="s">
        <v>16</v>
      </c>
      <c r="O7" s="49"/>
      <c r="P7" s="50"/>
      <c r="Q7" s="52"/>
      <c r="R7" s="55"/>
      <c r="S7" s="38"/>
    </row>
    <row r="8" spans="1:19" x14ac:dyDescent="0.35">
      <c r="A8" s="7" t="s">
        <v>17</v>
      </c>
      <c r="B8" s="8">
        <v>1</v>
      </c>
      <c r="C8" s="9">
        <v>4</v>
      </c>
      <c r="D8" s="10">
        <v>12</v>
      </c>
      <c r="E8" s="11" t="s">
        <v>18</v>
      </c>
      <c r="F8" s="10">
        <v>150</v>
      </c>
      <c r="G8" s="12" t="s">
        <v>18</v>
      </c>
      <c r="H8" s="12">
        <v>100</v>
      </c>
      <c r="I8" s="12" t="s">
        <v>18</v>
      </c>
      <c r="J8" s="12">
        <v>200</v>
      </c>
      <c r="K8" s="8" t="s">
        <v>19</v>
      </c>
      <c r="L8" s="8">
        <v>300</v>
      </c>
      <c r="M8" s="8"/>
      <c r="N8" s="8"/>
      <c r="O8" s="12" t="s">
        <v>20</v>
      </c>
      <c r="P8" s="12" t="s">
        <v>30</v>
      </c>
      <c r="Q8">
        <v>8</v>
      </c>
      <c r="R8">
        <v>60</v>
      </c>
      <c r="S8" s="10" t="s">
        <v>28</v>
      </c>
    </row>
    <row r="9" spans="1:19" x14ac:dyDescent="0.35">
      <c r="A9" s="13" t="s">
        <v>21</v>
      </c>
      <c r="B9" s="14">
        <v>1</v>
      </c>
      <c r="C9" s="15" t="s">
        <v>22</v>
      </c>
      <c r="D9" s="16">
        <v>16</v>
      </c>
      <c r="E9" s="15" t="s">
        <v>18</v>
      </c>
      <c r="F9" s="16">
        <v>150</v>
      </c>
      <c r="G9" s="17"/>
      <c r="H9" s="17"/>
      <c r="I9" s="17"/>
      <c r="J9" s="17"/>
      <c r="K9" s="18"/>
      <c r="L9" s="18"/>
      <c r="M9" s="14" t="s">
        <v>18</v>
      </c>
      <c r="N9" s="18">
        <v>64</v>
      </c>
      <c r="O9" s="17"/>
      <c r="P9" s="17"/>
      <c r="S9" s="10" t="s">
        <v>28</v>
      </c>
    </row>
    <row r="10" spans="1:19" x14ac:dyDescent="0.35">
      <c r="A10" s="13" t="s">
        <v>23</v>
      </c>
      <c r="B10" s="14">
        <v>1</v>
      </c>
      <c r="C10" s="15" t="s">
        <v>22</v>
      </c>
      <c r="D10" s="16">
        <v>6</v>
      </c>
      <c r="E10" s="15" t="s">
        <v>19</v>
      </c>
      <c r="F10" s="15" t="s">
        <v>24</v>
      </c>
      <c r="G10" s="16"/>
      <c r="H10" s="16"/>
      <c r="I10" s="16"/>
      <c r="J10" s="16"/>
      <c r="K10" s="18"/>
      <c r="L10" s="18"/>
      <c r="M10" s="14" t="s">
        <v>18</v>
      </c>
      <c r="N10" s="18">
        <v>24</v>
      </c>
      <c r="O10" s="19" t="s">
        <v>25</v>
      </c>
      <c r="P10" s="19" t="s">
        <v>26</v>
      </c>
      <c r="S10" s="10" t="s">
        <v>28</v>
      </c>
    </row>
    <row r="13" spans="1:19" x14ac:dyDescent="0.35">
      <c r="A13" s="22" t="str">
        <f>IF(OR($C$3="Kubernetes",$C$4&lt;&gt;"Ні"),"VM Kubernetes","")</f>
        <v>VM Kubernetes</v>
      </c>
      <c r="B13" s="16"/>
      <c r="C13" s="16"/>
      <c r="D13" s="16"/>
      <c r="E13" s="16"/>
      <c r="F13" s="16"/>
      <c r="G13" s="16"/>
    </row>
    <row r="14" spans="1:19" x14ac:dyDescent="0.35">
      <c r="A14" s="23" t="str">
        <f>IF(OR($C$3="Kubernetes",$C$4&lt;&gt;"Ні"),"Роль","")</f>
        <v>Роль</v>
      </c>
      <c r="B14" s="23" t="s">
        <v>32</v>
      </c>
      <c r="C14" s="23" t="s">
        <v>3</v>
      </c>
      <c r="D14" s="23" t="s">
        <v>35</v>
      </c>
      <c r="E14" s="24" t="s">
        <v>5</v>
      </c>
      <c r="F14" s="24"/>
      <c r="G14" s="23" t="str">
        <f>IF(OR($C$3="Kubernetes",$C$4&lt;&gt;"Ні"),"OS","")</f>
        <v>OS</v>
      </c>
    </row>
    <row r="15" spans="1:19" x14ac:dyDescent="0.35">
      <c r="A15" s="23"/>
      <c r="B15" s="23"/>
      <c r="C15" s="23"/>
      <c r="D15" s="23"/>
      <c r="E15" s="23" t="s">
        <v>15</v>
      </c>
      <c r="F15" s="23" t="s">
        <v>16</v>
      </c>
      <c r="G15" s="23"/>
    </row>
    <row r="16" spans="1:19" x14ac:dyDescent="0.35">
      <c r="A16" s="16" t="str">
        <f>IF(OR($C$3="Kubernetes",$C$4&lt;&gt;"Ні"),"Мастер нода","")</f>
        <v>Мастер нода</v>
      </c>
      <c r="B16" s="16">
        <v>1</v>
      </c>
      <c r="C16" s="16">
        <v>2</v>
      </c>
      <c r="D16" s="16">
        <v>4</v>
      </c>
      <c r="E16" s="15" t="s">
        <v>18</v>
      </c>
      <c r="F16" s="16">
        <v>100</v>
      </c>
      <c r="G16" s="25" t="s">
        <v>29</v>
      </c>
    </row>
    <row r="17" spans="1:7" x14ac:dyDescent="0.35">
      <c r="A17" s="13" t="str">
        <f>IF(OR($C$3="Kubernetes",$C$4&lt;&gt;"Ні"),"Робоча нода","")</f>
        <v>Робоча нода</v>
      </c>
      <c r="B17" s="16">
        <v>1</v>
      </c>
      <c r="C17" s="16">
        <v>4</v>
      </c>
      <c r="D17" s="16">
        <v>16</v>
      </c>
      <c r="E17" s="15" t="s">
        <v>18</v>
      </c>
      <c r="F17" s="16">
        <v>150</v>
      </c>
      <c r="G17" s="25" t="s">
        <v>29</v>
      </c>
    </row>
    <row r="20" spans="1:7" x14ac:dyDescent="0.35">
      <c r="A20" s="22" t="s">
        <v>31</v>
      </c>
    </row>
    <row r="21" spans="1:7" x14ac:dyDescent="0.35">
      <c r="A21" s="23" t="str">
        <f>IF(OR($C$3="Kubernetes",$C$4&lt;&gt;"Ні"),"Роль","")</f>
        <v>Роль</v>
      </c>
      <c r="B21" s="23" t="s">
        <v>2</v>
      </c>
      <c r="C21" s="23" t="s">
        <v>3</v>
      </c>
      <c r="D21" s="23" t="s">
        <v>35</v>
      </c>
      <c r="E21" s="24" t="s">
        <v>5</v>
      </c>
      <c r="F21" s="24"/>
      <c r="G21" s="23" t="str">
        <f>IF(OR($C$3="Kubernetes",$C$4&lt;&gt;"Ні"),"OS","")</f>
        <v>OS</v>
      </c>
    </row>
    <row r="22" spans="1:7" x14ac:dyDescent="0.35">
      <c r="A22" s="23"/>
      <c r="B22" s="23"/>
      <c r="C22" s="23"/>
      <c r="D22" s="23"/>
      <c r="E22" s="23" t="s">
        <v>15</v>
      </c>
      <c r="F22" s="23" t="s">
        <v>16</v>
      </c>
      <c r="G22" s="23"/>
    </row>
    <row r="23" spans="1:7" x14ac:dyDescent="0.35">
      <c r="A23" s="16" t="s">
        <v>33</v>
      </c>
      <c r="B23" s="16">
        <v>1</v>
      </c>
      <c r="C23" s="16">
        <v>2</v>
      </c>
      <c r="D23" s="16">
        <v>4</v>
      </c>
      <c r="E23" s="15" t="s">
        <v>18</v>
      </c>
      <c r="F23" s="16">
        <v>100</v>
      </c>
      <c r="G23" s="25" t="s">
        <v>29</v>
      </c>
    </row>
  </sheetData>
  <mergeCells count="14">
    <mergeCell ref="A5:A7"/>
    <mergeCell ref="B5:B7"/>
    <mergeCell ref="C5:C7"/>
    <mergeCell ref="D5:D7"/>
    <mergeCell ref="E5:Q5"/>
    <mergeCell ref="S5:S7"/>
    <mergeCell ref="E6:F6"/>
    <mergeCell ref="G6:H6"/>
    <mergeCell ref="I6:J6"/>
    <mergeCell ref="K6:L6"/>
    <mergeCell ref="M6:N6"/>
    <mergeCell ref="O6:P7"/>
    <mergeCell ref="Q6:Q7"/>
    <mergeCell ref="R5:R7"/>
  </mergeCells>
  <phoneticPr fontId="7" type="noConversion"/>
  <conditionalFormatting sqref="A20">
    <cfRule type="expression" dxfId="3" priority="1">
      <formula>$B$22&lt;&gt;""</formula>
    </cfRule>
  </conditionalFormatting>
  <conditionalFormatting sqref="A13:G17">
    <cfRule type="expression" dxfId="2" priority="3">
      <formula>$B$22&lt;&gt;""</formula>
    </cfRule>
  </conditionalFormatting>
  <conditionalFormatting sqref="A21:G23">
    <cfRule type="expression" dxfId="1" priority="2">
      <formula>$B$22&lt;&gt;""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2972-C71D-4B19-B178-C24BA56FC5EA}">
  <dimension ref="A2:S16"/>
  <sheetViews>
    <sheetView workbookViewId="0">
      <selection activeCell="J16" sqref="J16"/>
    </sheetView>
  </sheetViews>
  <sheetFormatPr defaultRowHeight="14.5" x14ac:dyDescent="0.35"/>
  <cols>
    <col min="1" max="1" width="29.90625" bestFit="1" customWidth="1"/>
    <col min="2" max="2" width="12.90625" bestFit="1" customWidth="1"/>
    <col min="3" max="3" width="20.1796875" bestFit="1" customWidth="1"/>
    <col min="7" max="7" width="15.26953125" bestFit="1" customWidth="1"/>
    <col min="19" max="19" width="17.36328125" bestFit="1" customWidth="1"/>
  </cols>
  <sheetData>
    <row r="2" spans="1:19" ht="15" thickBot="1" x14ac:dyDescent="0.4"/>
    <row r="3" spans="1:19" x14ac:dyDescent="0.35">
      <c r="A3" s="20" t="s">
        <v>27</v>
      </c>
      <c r="B3" s="21">
        <v>20</v>
      </c>
    </row>
    <row r="4" spans="1:19" ht="15" thickBot="1" x14ac:dyDescent="0.4">
      <c r="A4" s="1" t="s">
        <v>0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4"/>
    </row>
    <row r="5" spans="1:19" x14ac:dyDescent="0.35">
      <c r="A5" s="56" t="s">
        <v>1</v>
      </c>
      <c r="B5" s="56" t="s">
        <v>2</v>
      </c>
      <c r="C5" s="59" t="s">
        <v>3</v>
      </c>
      <c r="D5" s="65" t="s">
        <v>4</v>
      </c>
      <c r="E5" s="68" t="s">
        <v>5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70"/>
      <c r="R5" s="53" t="s">
        <v>6</v>
      </c>
      <c r="S5" s="71" t="s">
        <v>7</v>
      </c>
    </row>
    <row r="6" spans="1:19" x14ac:dyDescent="0.35">
      <c r="A6" s="57"/>
      <c r="B6" s="57"/>
      <c r="C6" s="60"/>
      <c r="D6" s="66"/>
      <c r="E6" s="74" t="s">
        <v>8</v>
      </c>
      <c r="F6" s="75"/>
      <c r="G6" s="76" t="s">
        <v>9</v>
      </c>
      <c r="H6" s="77"/>
      <c r="I6" s="78" t="s">
        <v>10</v>
      </c>
      <c r="J6" s="79"/>
      <c r="K6" s="80" t="s">
        <v>11</v>
      </c>
      <c r="L6" s="80"/>
      <c r="M6" s="80" t="s">
        <v>12</v>
      </c>
      <c r="N6" s="80"/>
      <c r="O6" s="47" t="s">
        <v>13</v>
      </c>
      <c r="P6" s="48"/>
      <c r="Q6" s="51" t="s">
        <v>14</v>
      </c>
      <c r="R6" s="54"/>
      <c r="S6" s="72"/>
    </row>
    <row r="7" spans="1:19" ht="15" thickBot="1" x14ac:dyDescent="0.4">
      <c r="A7" s="58"/>
      <c r="B7" s="58"/>
      <c r="C7" s="61"/>
      <c r="D7" s="67"/>
      <c r="E7" s="5" t="s">
        <v>15</v>
      </c>
      <c r="F7" s="6" t="s">
        <v>16</v>
      </c>
      <c r="G7" s="6" t="s">
        <v>15</v>
      </c>
      <c r="H7" s="6" t="s">
        <v>16</v>
      </c>
      <c r="I7" s="6" t="s">
        <v>15</v>
      </c>
      <c r="J7" s="6" t="s">
        <v>16</v>
      </c>
      <c r="K7" s="6" t="s">
        <v>15</v>
      </c>
      <c r="L7" s="6" t="s">
        <v>16</v>
      </c>
      <c r="M7" s="6" t="s">
        <v>15</v>
      </c>
      <c r="N7" s="6" t="s">
        <v>16</v>
      </c>
      <c r="O7" s="49"/>
      <c r="P7" s="50"/>
      <c r="Q7" s="52"/>
      <c r="R7" s="55"/>
      <c r="S7" s="73"/>
    </row>
    <row r="8" spans="1:19" x14ac:dyDescent="0.35">
      <c r="A8" s="7" t="s">
        <v>17</v>
      </c>
      <c r="B8" s="8">
        <v>1</v>
      </c>
      <c r="C8" s="9">
        <v>4</v>
      </c>
      <c r="D8" s="10">
        <v>12</v>
      </c>
      <c r="E8" s="11" t="s">
        <v>18</v>
      </c>
      <c r="F8" s="10">
        <v>150</v>
      </c>
      <c r="G8" s="12" t="s">
        <v>18</v>
      </c>
      <c r="H8" s="12">
        <v>100</v>
      </c>
      <c r="I8" s="12" t="s">
        <v>18</v>
      </c>
      <c r="J8" s="12">
        <v>200</v>
      </c>
      <c r="K8" s="8" t="s">
        <v>19</v>
      </c>
      <c r="L8" s="8">
        <v>300</v>
      </c>
      <c r="M8" s="8"/>
      <c r="N8" s="8"/>
      <c r="O8" s="12" t="s">
        <v>20</v>
      </c>
      <c r="P8" s="12" t="s">
        <v>30</v>
      </c>
      <c r="Q8">
        <v>8</v>
      </c>
      <c r="R8">
        <v>60</v>
      </c>
      <c r="S8" s="10" t="s">
        <v>28</v>
      </c>
    </row>
    <row r="9" spans="1:19" x14ac:dyDescent="0.35">
      <c r="A9" s="30" t="s">
        <v>34</v>
      </c>
      <c r="B9" s="31">
        <v>1</v>
      </c>
      <c r="C9" s="32">
        <v>2</v>
      </c>
      <c r="D9" s="33">
        <v>4</v>
      </c>
      <c r="E9" s="34" t="s">
        <v>18</v>
      </c>
      <c r="F9" s="35">
        <v>150</v>
      </c>
      <c r="G9" s="17"/>
      <c r="H9" s="17"/>
      <c r="I9" s="17"/>
      <c r="J9" s="17"/>
      <c r="K9" s="18"/>
      <c r="L9" s="18"/>
      <c r="M9" s="14" t="str">
        <f>IF($C$3="Windows","ssd","")</f>
        <v/>
      </c>
      <c r="N9" s="18" t="str">
        <f>IF($C$3="Windows",D9*4,"")</f>
        <v/>
      </c>
      <c r="O9" s="17"/>
      <c r="P9" s="17"/>
      <c r="S9" s="10" t="s">
        <v>28</v>
      </c>
    </row>
    <row r="10" spans="1:19" x14ac:dyDescent="0.35">
      <c r="A10" s="26"/>
      <c r="C10" s="27"/>
      <c r="D10" s="3"/>
      <c r="E10" s="28"/>
      <c r="F10" s="3"/>
      <c r="G10" s="29"/>
      <c r="H10" s="29"/>
      <c r="I10" s="29"/>
      <c r="J10" s="29"/>
      <c r="O10" s="29"/>
      <c r="P10" s="29"/>
      <c r="S10" s="3"/>
    </row>
    <row r="12" spans="1:19" x14ac:dyDescent="0.35">
      <c r="A12" s="22" t="str">
        <f>IF(OR($C$12="Kubernetes",$C$13&lt;&gt;"Ні"),"VM Kubernetes","")</f>
        <v>VM Kubernetes</v>
      </c>
      <c r="B12" s="16"/>
      <c r="C12" s="16"/>
      <c r="D12" s="16"/>
      <c r="E12" s="16"/>
      <c r="F12" s="16"/>
      <c r="G12" s="16"/>
    </row>
    <row r="13" spans="1:19" x14ac:dyDescent="0.35">
      <c r="A13" s="23" t="str">
        <f>IF(OR($C$12="Kubernetes",$C$13&lt;&gt;"Ні"),"Роль","")</f>
        <v>Роль</v>
      </c>
      <c r="B13" s="23" t="s">
        <v>32</v>
      </c>
      <c r="C13" s="23" t="s">
        <v>3</v>
      </c>
      <c r="D13" s="23" t="s">
        <v>35</v>
      </c>
      <c r="E13" s="24" t="s">
        <v>5</v>
      </c>
      <c r="F13" s="24"/>
      <c r="G13" s="23" t="str">
        <f>IF(OR($C$12="Kubernetes",$C$13&lt;&gt;"Ні"),"OS","")</f>
        <v>OS</v>
      </c>
    </row>
    <row r="14" spans="1:19" x14ac:dyDescent="0.35">
      <c r="A14" s="23"/>
      <c r="B14" s="23"/>
      <c r="C14" s="23"/>
      <c r="D14" s="23"/>
      <c r="E14" s="23" t="s">
        <v>15</v>
      </c>
      <c r="F14" s="23" t="s">
        <v>16</v>
      </c>
      <c r="G14" s="23"/>
    </row>
    <row r="15" spans="1:19" x14ac:dyDescent="0.35">
      <c r="A15" s="16" t="str">
        <f>IF(OR($C$12="Kubernetes",$C$13&lt;&gt;"Ні"),"Мастер нода","")</f>
        <v>Мастер нода</v>
      </c>
      <c r="B15" s="16">
        <v>1</v>
      </c>
      <c r="C15" s="16">
        <v>2</v>
      </c>
      <c r="D15" s="16">
        <v>4</v>
      </c>
      <c r="E15" s="15" t="s">
        <v>18</v>
      </c>
      <c r="F15" s="16">
        <v>100</v>
      </c>
      <c r="G15" s="25" t="s">
        <v>29</v>
      </c>
    </row>
    <row r="16" spans="1:19" x14ac:dyDescent="0.35">
      <c r="A16" s="13" t="str">
        <f>IF(OR($C$12="Kubernetes",$C$13&lt;&gt;"Ні"),"Робоча нода","")</f>
        <v>Робоча нода</v>
      </c>
      <c r="B16" s="16">
        <v>2</v>
      </c>
      <c r="C16" s="16">
        <v>5</v>
      </c>
      <c r="D16" s="16">
        <v>20</v>
      </c>
      <c r="E16" s="15" t="s">
        <v>18</v>
      </c>
      <c r="F16" s="16">
        <v>150</v>
      </c>
      <c r="G16" s="25" t="s">
        <v>29</v>
      </c>
    </row>
  </sheetData>
  <mergeCells count="14">
    <mergeCell ref="S5:S7"/>
    <mergeCell ref="E6:F6"/>
    <mergeCell ref="G6:H6"/>
    <mergeCell ref="I6:J6"/>
    <mergeCell ref="K6:L6"/>
    <mergeCell ref="M6:N6"/>
    <mergeCell ref="O6:P7"/>
    <mergeCell ref="Q6:Q7"/>
    <mergeCell ref="R5:R7"/>
    <mergeCell ref="A5:A7"/>
    <mergeCell ref="B5:B7"/>
    <mergeCell ref="C5:C7"/>
    <mergeCell ref="D5:D7"/>
    <mergeCell ref="E5:Q5"/>
  </mergeCells>
  <conditionalFormatting sqref="A12:G16">
    <cfRule type="expression" dxfId="0" priority="1">
      <formula>$B$26&lt;&gt;""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windows + kubernetes</vt:lpstr>
      <vt:lpstr>Kubernetes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Андрійко Олександр</dc:creator>
  <cp:lastModifiedBy>Андрійко Олександр</cp:lastModifiedBy>
  <dcterms:created xsi:type="dcterms:W3CDTF">2026-06-11T08:56:16Z</dcterms:created>
  <dcterms:modified xsi:type="dcterms:W3CDTF">2026-06-11T09:51:40Z</dcterms:modified>
</cp:coreProperties>
</file>