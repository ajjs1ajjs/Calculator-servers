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itenterprise-my.sharepoint.com/personal/karavaev_it_ua/Documents/Microsoft Teams Chat Files/"/>
    </mc:Choice>
  </mc:AlternateContent>
  <xr:revisionPtr revIDLastSave="0" documentId="8_{9F7C7C3A-C9FD-446F-B2EB-CA0F3935E50E}" xr6:coauthVersionLast="47" xr6:coauthVersionMax="47" xr10:uidLastSave="{00000000-0000-0000-0000-000000000000}"/>
  <bookViews>
    <workbookView xWindow="28680" yWindow="-120" windowWidth="29040" windowHeight="15720" firstSheet="2" xr2:uid="{00000000-000D-0000-FFFF-FFFF00000000}"/>
  </bookViews>
  <sheets>
    <sheet name="Prod 8000" sheetId="2" r:id="rId1"/>
    <sheet name="Prod 8000 cost" sheetId="3" r:id="rId2"/>
    <sheet name="Prod 80000" sheetId="5" r:id="rId3"/>
    <sheet name="Prod 80000 cost" sheetId="6" r:id="rId4"/>
    <sheet name="тендер-прайс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A1" i="6" a="1"/>
  <c r="A1" i="6"/>
  <c r="F3" i="6"/>
  <c r="F5" i="6"/>
  <c r="F7" i="6"/>
  <c r="F9" i="6"/>
  <c r="F10" i="6"/>
  <c r="F11" i="6"/>
  <c r="F12" i="6"/>
  <c r="F14" i="6"/>
  <c r="F15" i="6"/>
  <c r="F16" i="6"/>
  <c r="F17" i="6"/>
  <c r="F18" i="6"/>
  <c r="F19" i="6"/>
  <c r="F20" i="6"/>
  <c r="F23" i="6"/>
  <c r="B36" i="2"/>
  <c r="H36" i="2"/>
  <c r="I36" i="2"/>
  <c r="B37" i="2"/>
  <c r="H37" i="2"/>
  <c r="I37" i="2"/>
  <c r="B38" i="2"/>
  <c r="H38" i="2"/>
  <c r="I38" i="2"/>
  <c r="B39" i="2"/>
  <c r="H39" i="2"/>
  <c r="I39" i="2"/>
  <c r="B40" i="2"/>
  <c r="H40" i="2"/>
  <c r="I40" i="2"/>
  <c r="B41" i="2"/>
  <c r="H41" i="2"/>
  <c r="I41" i="2"/>
  <c r="B42" i="2"/>
  <c r="H42" i="2"/>
  <c r="I42" i="2"/>
  <c r="B43" i="2"/>
  <c r="H43" i="2"/>
  <c r="I43" i="2"/>
  <c r="B44" i="2"/>
  <c r="H44" i="2"/>
  <c r="I44" i="2"/>
  <c r="B45" i="2"/>
  <c r="H45" i="2"/>
  <c r="I45" i="2"/>
  <c r="B46" i="2"/>
  <c r="H46" i="2"/>
  <c r="I46" i="2"/>
  <c r="B47" i="2"/>
  <c r="H47" i="2"/>
  <c r="I47" i="2"/>
  <c r="B48" i="2"/>
  <c r="H48" i="2"/>
  <c r="I48" i="2"/>
  <c r="B49" i="2"/>
  <c r="H49" i="2"/>
  <c r="I49" i="2"/>
  <c r="H50" i="2"/>
  <c r="I50" i="2"/>
  <c r="H51" i="2"/>
  <c r="I51" i="2"/>
  <c r="H52" i="2"/>
  <c r="I52" i="2"/>
  <c r="B53" i="2"/>
  <c r="H53" i="2"/>
  <c r="I53" i="2"/>
  <c r="B54" i="2"/>
  <c r="H54" i="2"/>
  <c r="I54" i="2"/>
  <c r="B55" i="2"/>
  <c r="H55" i="2"/>
  <c r="I55" i="2"/>
  <c r="H56" i="2"/>
  <c r="I56" i="2"/>
  <c r="B36" i="5"/>
  <c r="B37" i="5"/>
  <c r="B38" i="5"/>
  <c r="B39" i="5"/>
  <c r="B40" i="5"/>
  <c r="M24" i="2"/>
  <c r="K25" i="2"/>
  <c r="K24" i="2"/>
  <c r="K25" i="5"/>
  <c r="E8" i="6" s="1"/>
  <c r="K24" i="5"/>
  <c r="E6" i="6" s="1"/>
  <c r="F6" i="6" s="1"/>
  <c r="K23" i="5"/>
  <c r="E4" i="6" s="1"/>
  <c r="H52" i="5"/>
  <c r="I50" i="5"/>
  <c r="I51" i="5"/>
  <c r="I52" i="5"/>
  <c r="H50" i="5"/>
  <c r="H51" i="5"/>
  <c r="B53" i="5"/>
  <c r="B47" i="5"/>
  <c r="B43" i="5"/>
  <c r="B42" i="5"/>
  <c r="B41" i="5"/>
  <c r="B44" i="5"/>
  <c r="B45" i="5"/>
  <c r="B46" i="5"/>
  <c r="B48" i="5"/>
  <c r="B49" i="5"/>
  <c r="B54" i="5"/>
  <c r="B55" i="5"/>
  <c r="K26" i="5"/>
  <c r="N24" i="5"/>
  <c r="M24" i="5"/>
  <c r="K23" i="2"/>
  <c r="E4" i="3" s="1"/>
  <c r="E8" i="3"/>
  <c r="N24" i="2"/>
  <c r="K26" i="2"/>
  <c r="E10" i="3" s="1"/>
  <c r="E6" i="3"/>
  <c r="A1" i="3" a="1"/>
  <c r="A1" i="3" s="1"/>
  <c r="F4" i="6" l="1"/>
  <c r="E21" i="6"/>
  <c r="F21" i="6" s="1"/>
  <c r="E22" i="6"/>
  <c r="F22" i="6" s="1"/>
  <c r="F8" i="6"/>
  <c r="E13" i="6"/>
  <c r="F13" i="6" s="1"/>
  <c r="I36" i="5"/>
  <c r="H36" i="5"/>
  <c r="I55" i="5"/>
  <c r="H55" i="5"/>
  <c r="I54" i="5"/>
  <c r="H54" i="5"/>
  <c r="I49" i="5"/>
  <c r="H49" i="5"/>
  <c r="I48" i="5"/>
  <c r="H48" i="5"/>
  <c r="I46" i="5"/>
  <c r="H46" i="5"/>
  <c r="I45" i="5"/>
  <c r="H45" i="5"/>
  <c r="I44" i="5"/>
  <c r="H44" i="5"/>
  <c r="I40" i="5"/>
  <c r="H40" i="5"/>
  <c r="I39" i="5"/>
  <c r="H39" i="5"/>
  <c r="I38" i="5"/>
  <c r="H38" i="5"/>
  <c r="I37" i="5"/>
  <c r="H37" i="5"/>
  <c r="I41" i="5"/>
  <c r="H41" i="5"/>
  <c r="I42" i="5"/>
  <c r="H42" i="5"/>
  <c r="I43" i="5"/>
  <c r="H43" i="5"/>
  <c r="I47" i="5"/>
  <c r="H47" i="5"/>
  <c r="I53" i="5"/>
  <c r="H53" i="5"/>
  <c r="E13" i="3"/>
  <c r="E22" i="3"/>
  <c r="E21" i="3"/>
  <c r="F21" i="3" s="1"/>
  <c r="F18" i="3"/>
  <c r="F17" i="3"/>
  <c r="F13" i="3"/>
  <c r="F11" i="3"/>
  <c r="F9" i="3"/>
  <c r="F6" i="3"/>
  <c r="F19" i="3"/>
  <c r="F16" i="3"/>
  <c r="F15" i="3"/>
  <c r="F14" i="3"/>
  <c r="F12" i="3"/>
  <c r="F10" i="3"/>
  <c r="F3" i="3"/>
  <c r="F7" i="3"/>
  <c r="F5" i="3"/>
  <c r="F8" i="3"/>
  <c r="F23" i="3"/>
  <c r="F22" i="3"/>
  <c r="F20" i="3"/>
  <c r="F4" i="3"/>
  <c r="F24" i="6" l="1"/>
  <c r="H56" i="5"/>
  <c r="I56" i="5"/>
  <c r="F2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<sst xmlns="http://schemas.openxmlformats.org/spreadsheetml/2006/main" count="326" uniqueCount="149">
  <si>
    <t>Значення</t>
  </si>
  <si>
    <t>Кількість конкурентних ліцензій</t>
  </si>
  <si>
    <t>50 конк.ліц.</t>
  </si>
  <si>
    <t>8000 корист. порталу</t>
  </si>
  <si>
    <t>Перелік VM</t>
  </si>
  <si>
    <t>VM Kubernetes</t>
  </si>
  <si>
    <t>Роль</t>
  </si>
  <si>
    <t>CPU, ядра від 3.2 ГГц</t>
  </si>
  <si>
    <t>RAM, GB</t>
  </si>
  <si>
    <t>Disk</t>
  </si>
  <si>
    <t>Кількість нод</t>
  </si>
  <si>
    <t>OS</t>
  </si>
  <si>
    <t>Тип</t>
  </si>
  <si>
    <t>GB</t>
  </si>
  <si>
    <t>Мастер нода</t>
  </si>
  <si>
    <t>ssd</t>
  </si>
  <si>
    <t>Ubuntu 24.04 LTS</t>
  </si>
  <si>
    <t>Робоча нода</t>
  </si>
  <si>
    <t>VM Linux</t>
  </si>
  <si>
    <t>MiB /s</t>
  </si>
  <si>
    <t>OS/Software</t>
  </si>
  <si>
    <t>ОС</t>
  </si>
  <si>
    <t>MainData</t>
  </si>
  <si>
    <t>ContentData</t>
  </si>
  <si>
    <t>IOPS</t>
  </si>
  <si>
    <t>Latency &lt;=, mc</t>
  </si>
  <si>
    <t>GB**</t>
  </si>
  <si>
    <t>СКБД* (PostgreSQL)</t>
  </si>
  <si>
    <t>sata</t>
  </si>
  <si>
    <t>50r/50w</t>
  </si>
  <si>
    <t>Дисковий простір:</t>
  </si>
  <si>
    <t xml:space="preserve">**Наведені розміри дисків розраховані для початкового розгортання. Подальше розширення виконується відповідно до обсягу завантажених даних. </t>
  </si>
  <si>
    <t>AZURE payg</t>
  </si>
  <si>
    <t>AZURE 3-y</t>
  </si>
  <si>
    <t>Мережеві вимоги:</t>
  </si>
  <si>
    <t>vCPU</t>
  </si>
  <si>
    <t>Мінімальна пропускна здатність мережі між віртуальними машинами: 1 Gb/s.</t>
  </si>
  <si>
    <t>vRAM</t>
  </si>
  <si>
    <t>vHDD (80000 IOPS )</t>
  </si>
  <si>
    <t>Ресурси сервісу сегментації (початкова конфігурація, вже додані до опису ресурсів):</t>
  </si>
  <si>
    <t>vHDD (5000 IOPS )</t>
  </si>
  <si>
    <t>CPU: 4 vCPU</t>
  </si>
  <si>
    <t>RAM: 6 ГБ</t>
  </si>
  <si>
    <t>Примітка: Продуктивність обробки відеоматеріалу прямо залежить від виділених обчислювальних ресурсів. Масштабування можливе за потреби.</t>
  </si>
  <si>
    <t>кількість</t>
  </si>
  <si>
    <t>NAME</t>
  </si>
  <si>
    <t>CPU_REQ</t>
  </si>
  <si>
    <t>MEM_REQ</t>
  </si>
  <si>
    <t>CPU_LIM</t>
  </si>
  <si>
    <t>MEM_LIM / Gi(Mb)</t>
  </si>
  <si>
    <t>CPU</t>
  </si>
  <si>
    <t>MEM</t>
  </si>
  <si>
    <t>itnet2-prod-as-robot</t>
  </si>
  <si>
    <t>500m</t>
  </si>
  <si>
    <t>8Gi</t>
  </si>
  <si>
    <t>itnet2-prod-as-robot-localsql</t>
  </si>
  <si>
    <t>appplayer-commonappplayer</t>
  </si>
  <si>
    <t>50m</t>
  </si>
  <si>
    <t>30Mi</t>
  </si>
  <si>
    <t>employee-assessment-webapp</t>
  </si>
  <si>
    <t>100m</t>
  </si>
  <si>
    <t>614Mi</t>
  </si>
  <si>
    <t>graphql</t>
  </si>
  <si>
    <t>10m</t>
  </si>
  <si>
    <t>570Mi</t>
  </si>
  <si>
    <t>itnet2-as</t>
  </si>
  <si>
    <t>200m</t>
  </si>
  <si>
    <t>1Gi</t>
  </si>
  <si>
    <t>itnet2-as-localsql</t>
  </si>
  <si>
    <t>itnet2-as-redis</t>
  </si>
  <si>
    <t>20m</t>
  </si>
  <si>
    <t>50Mi</t>
  </si>
  <si>
    <t>lms</t>
  </si>
  <si>
    <t>300Mi</t>
  </si>
  <si>
    <t>lms-fileserver</t>
  </si>
  <si>
    <t>100Mi</t>
  </si>
  <si>
    <t>lms-it-graphql</t>
  </si>
  <si>
    <t>lms-videoutilities</t>
  </si>
  <si>
    <t>login</t>
  </si>
  <si>
    <t>300m</t>
  </si>
  <si>
    <t>500Mi</t>
  </si>
  <si>
    <t>recruit-webapp</t>
  </si>
  <si>
    <t>survey</t>
  </si>
  <si>
    <t>370Mi</t>
  </si>
  <si>
    <t>survey-redis</t>
  </si>
  <si>
    <t>webappmodeler</t>
  </si>
  <si>
    <t>webrmd</t>
  </si>
  <si>
    <t>ws-signalr</t>
  </si>
  <si>
    <t>ws</t>
  </si>
  <si>
    <t>Кількість</t>
  </si>
  <si>
    <t>сумма, грн без ПДВ на міс.</t>
  </si>
  <si>
    <t>80000 корист. порталу</t>
  </si>
  <si>
    <t>IOPS
50r/50w</t>
  </si>
  <si>
    <r>
      <t>№</t>
    </r>
    <r>
      <rPr>
        <sz val="12"/>
        <rFont val="Calibri"/>
        <family val="2"/>
        <charset val="204"/>
      </rPr>
      <t> </t>
    </r>
  </si>
  <si>
    <r>
      <t>Назва та параметри Послуги</t>
    </r>
    <r>
      <rPr>
        <sz val="12"/>
        <rFont val="Calibri"/>
        <family val="2"/>
        <charset val="204"/>
      </rPr>
      <t> </t>
    </r>
  </si>
  <si>
    <r>
      <t>Одиниця тарифікації</t>
    </r>
    <r>
      <rPr>
        <sz val="12"/>
        <rFont val="Calibri"/>
        <family val="2"/>
        <charset val="204"/>
      </rPr>
      <t> </t>
    </r>
  </si>
  <si>
    <r>
      <t>Ціна за одиницю, грн без ПДВ за місяць</t>
    </r>
    <r>
      <rPr>
        <sz val="12"/>
        <rFont val="Calibri"/>
        <family val="2"/>
        <charset val="204"/>
      </rPr>
      <t> </t>
    </r>
  </si>
  <si>
    <r>
      <t>з/п</t>
    </r>
    <r>
      <rPr>
        <sz val="12"/>
        <rFont val="Calibri"/>
        <family val="2"/>
        <charset val="204"/>
      </rPr>
      <t> </t>
    </r>
  </si>
  <si>
    <t>1 </t>
  </si>
  <si>
    <t>Обчислювальна потужність процесора (vCPU) SAP </t>
  </si>
  <si>
    <t>1 GHz </t>
  </si>
  <si>
    <t>2 </t>
  </si>
  <si>
    <t>Обчислювальна потужність процесора (vCPU) </t>
  </si>
  <si>
    <t>3 </t>
  </si>
  <si>
    <t>Оперативна пам’ять (vRAM) SAP </t>
  </si>
  <si>
    <t>1 GB </t>
  </si>
  <si>
    <t>4 </t>
  </si>
  <si>
    <t>Оперативна пам’ять (vRAM) </t>
  </si>
  <si>
    <t>5 </t>
  </si>
  <si>
    <t>Накопичувачі та система зберігання (vHDD) 80000 IOPS SAP </t>
  </si>
  <si>
    <t>6 </t>
  </si>
  <si>
    <t>Накопичувачі та система зберігання (vHDD) 80000 IOPS </t>
  </si>
  <si>
    <t>7 </t>
  </si>
  <si>
    <t>Накопичувачі та система зберігання (vHDD) 5000 IOPS SAP </t>
  </si>
  <si>
    <t>8 </t>
  </si>
  <si>
    <t>Накопичувані та система зберігання (vHDD) 5000 IOPS </t>
  </si>
  <si>
    <t>9 </t>
  </si>
  <si>
    <t>Віртуальна мережа (VLAN) </t>
  </si>
  <si>
    <t>1 екземпляр </t>
  </si>
  <si>
    <t>10 </t>
  </si>
  <si>
    <t>Послуга реплікації з використанням VMware Cloud Director Availability </t>
  </si>
  <si>
    <t>1 VM </t>
  </si>
  <si>
    <t>11 </t>
  </si>
  <si>
    <t>Безагентне (на рівні гіпервізору, без необхідності встановлення агентів в гостьові операційні системи) щоденне резервне копіювання даних з глибиною зберігання 31 день** </t>
  </si>
  <si>
    <t>12 </t>
  </si>
  <si>
    <t>Послуга гео бекапування з використанням
Veeam (м.Київ/м.Львів/AWS)*** </t>
  </si>
  <si>
    <t>13 </t>
  </si>
  <si>
    <t>Віртуальний маршрутизатор з функцією мережевого екрану та VPN </t>
  </si>
  <si>
    <t>14 </t>
  </si>
  <si>
    <t>Підключення до мережі Інтернет 1 Gb/s, зовнішній IP адрес </t>
  </si>
  <si>
    <t>підключення </t>
  </si>
  <si>
    <t>15 </t>
  </si>
  <si>
    <t>Підключення до мережі Інтернет 10 Gb/s з BGP-peering </t>
  </si>
  <si>
    <t>16 </t>
  </si>
  <si>
    <t>Виділений канал пропускною здатністю 10G між ЦОД Виконавця та ЦОД Замовника, що знаходиться за адресою </t>
  </si>
  <si>
    <t>1 канал  </t>
  </si>
  <si>
    <t>17 </t>
  </si>
  <si>
    <t>Термінація виділеного каналу 1Gb/s (мідний порт) та презентація його у хмарний ландшафт Замовника </t>
  </si>
  <si>
    <t>порт </t>
  </si>
  <si>
    <t>18 </t>
  </si>
  <si>
    <t>Термінація виділеного каналу 10Gb/s (оптичний порт) та презентація його у хмарний ландшафт Замовника </t>
  </si>
  <si>
    <t>19 </t>
  </si>
  <si>
    <t>Система моніторингу VMware Aria Operation </t>
  </si>
  <si>
    <t>1 vCPU </t>
  </si>
  <si>
    <t>20 </t>
  </si>
  <si>
    <t>1 GB vRAM </t>
  </si>
  <si>
    <t>21 </t>
  </si>
  <si>
    <t>Віртуальна графічна пам'ять GPU на базі nVIDIA L40S з ліцензією AI Enterprise Essentials </t>
  </si>
  <si>
    <t>48 GB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</si>
</sst>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₴&quot;"/>
    <numFmt numFmtId="165" formatCode="[$$-C09]#,##0.00"/>
  </numFmts>
  <fonts count="18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rgb="FF000000"/>
      <name val="Calibri"/>
    </font>
    <font>
      <sz val="11"/>
      <color rgb="FF000000"/>
      <name val="Calibri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  <font>
      <b/>
      <sz val="11"/>
      <color rgb="FF000000"/>
      <name val="Calibri"/>
    </font>
    <font>
      <sz val="10"/>
      <color rgb="FF000000"/>
      <name val="Arial"/>
      <family val="2"/>
      <charset val="204"/>
    </font>
    <font>
      <b/>
      <sz val="10"/>
      <color rgb="FF000000"/>
      <name val="Arial"/>
      <scheme val="minor"/>
    </font>
    <font>
      <b/>
      <sz val="10"/>
      <color rgb="FF000000"/>
      <name val="Arial"/>
    </font>
    <font>
      <b/>
      <sz val="11"/>
      <color theme="1"/>
      <name val="Arial"/>
      <family val="2"/>
      <charset val="204"/>
      <scheme val="minor"/>
    </font>
    <font>
      <b/>
      <sz val="12"/>
      <name val="Calibri"/>
      <family val="2"/>
      <charset val="204"/>
    </font>
    <font>
      <sz val="12"/>
      <name val="Calibri"/>
      <family val="2"/>
      <charset val="204"/>
    </font>
    <font>
      <sz val="12"/>
      <color rgb="FF20262E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Aptos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6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/>
    <xf numFmtId="0" fontId="5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9" fillId="0" borderId="0" xfId="0" applyFont="1"/>
    <xf numFmtId="0" fontId="6" fillId="0" borderId="2" xfId="0" applyFont="1" applyBorder="1"/>
    <xf numFmtId="0" fontId="6" fillId="0" borderId="3" xfId="0" applyFont="1" applyBorder="1"/>
    <xf numFmtId="0" fontId="0" fillId="0" borderId="6" xfId="0" applyBorder="1"/>
    <xf numFmtId="0" fontId="0" fillId="0" borderId="5" xfId="0" applyBorder="1"/>
    <xf numFmtId="0" fontId="0" fillId="0" borderId="21" xfId="0" applyBorder="1"/>
    <xf numFmtId="0" fontId="7" fillId="0" borderId="0" xfId="0" applyFont="1"/>
    <xf numFmtId="0" fontId="7" fillId="0" borderId="5" xfId="0" applyFont="1" applyBorder="1"/>
    <xf numFmtId="0" fontId="9" fillId="0" borderId="17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5" fillId="0" borderId="13" xfId="0" applyFont="1" applyBorder="1" applyAlignment="1">
      <alignment horizontal="center" vertical="center"/>
    </xf>
    <xf numFmtId="0" fontId="9" fillId="0" borderId="11" xfId="0" applyFont="1" applyBorder="1"/>
    <xf numFmtId="0" fontId="7" fillId="0" borderId="22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6" fillId="0" borderId="15" xfId="0" applyFont="1" applyBorder="1"/>
    <xf numFmtId="0" fontId="9" fillId="0" borderId="5" xfId="0" applyFont="1" applyBorder="1"/>
    <xf numFmtId="0" fontId="7" fillId="0" borderId="7" xfId="0" applyFont="1" applyBorder="1"/>
    <xf numFmtId="0" fontId="6" fillId="0" borderId="21" xfId="0" applyFont="1" applyBorder="1"/>
    <xf numFmtId="0" fontId="6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0" fillId="0" borderId="0" xfId="0" applyFont="1"/>
    <xf numFmtId="0" fontId="0" fillId="0" borderId="0" xfId="0" applyAlignment="1">
      <alignment wrapText="1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23" xfId="0" applyBorder="1"/>
    <xf numFmtId="0" fontId="12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0" fillId="0" borderId="33" xfId="0" applyBorder="1"/>
    <xf numFmtId="0" fontId="13" fillId="0" borderId="32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4" fillId="0" borderId="0" xfId="0" applyNumberFormat="1" applyFont="1" applyAlignment="1">
      <alignment horizontal="center"/>
    </xf>
    <xf numFmtId="164" fontId="5" fillId="0" borderId="0" xfId="0" applyNumberFormat="1" applyFont="1"/>
    <xf numFmtId="165" fontId="5" fillId="0" borderId="3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17" fillId="0" borderId="33" xfId="0" applyFont="1" applyBorder="1"/>
    <xf numFmtId="0" fontId="17" fillId="0" borderId="0" xfId="0" applyFont="1"/>
    <xf numFmtId="0" fontId="17" fillId="0" borderId="26" xfId="0" applyFont="1" applyBorder="1"/>
    <xf numFmtId="0" fontId="0" fillId="4" borderId="0" xfId="0" applyFill="1"/>
    <xf numFmtId="0" fontId="17" fillId="0" borderId="34" xfId="0" applyFont="1" applyBorder="1"/>
    <xf numFmtId="0" fontId="7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9" fillId="0" borderId="38" xfId="0" applyFont="1" applyBorder="1"/>
    <xf numFmtId="0" fontId="0" fillId="0" borderId="39" xfId="0" applyBorder="1" applyAlignment="1">
      <alignment horizontal="center" vertic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6" fillId="0" borderId="41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9" fillId="0" borderId="43" xfId="0" applyFont="1" applyBorder="1" applyAlignment="1">
      <alignment vertical="center"/>
    </xf>
    <xf numFmtId="0" fontId="7" fillId="0" borderId="31" xfId="0" applyFont="1" applyBorder="1"/>
    <xf numFmtId="0" fontId="7" fillId="0" borderId="14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36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5" fillId="0" borderId="32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E28D-3353-44A5-8FF4-42FE8AF567AD}">
  <dimension ref="A1:Q87"/>
  <sheetViews>
    <sheetView tabSelected="1" topLeftCell="A18" zoomScaleNormal="100" workbookViewId="0">
      <selection activeCell="L52" sqref="L52"/>
    </sheetView>
  </sheetViews>
  <sheetFormatPr defaultRowHeight="12.75"/>
  <cols>
    <col min="1" max="1" width="7.7109375" customWidth="1"/>
    <col min="2" max="2" width="41.85546875" bestFit="1" customWidth="1"/>
    <col min="3" max="3" width="23" bestFit="1" customWidth="1"/>
    <col min="4" max="4" width="12.85546875" bestFit="1" customWidth="1"/>
    <col min="5" max="5" width="12" customWidth="1"/>
    <col min="6" max="6" width="16.140625" bestFit="1" customWidth="1"/>
    <col min="7" max="7" width="27.140625" bestFit="1" customWidth="1"/>
    <col min="8" max="8" width="16.85546875" bestFit="1" customWidth="1"/>
    <col min="9" max="9" width="9.28515625" customWidth="1"/>
    <col min="10" max="11" width="10.5703125" customWidth="1"/>
    <col min="13" max="13" width="15" bestFit="1" customWidth="1"/>
    <col min="14" max="14" width="14.7109375" bestFit="1" customWidth="1"/>
    <col min="15" max="15" width="16" bestFit="1" customWidth="1"/>
    <col min="16" max="16" width="16.42578125" bestFit="1" customWidth="1"/>
    <col min="17" max="17" width="35.28515625" bestFit="1" customWidth="1"/>
  </cols>
  <sheetData>
    <row r="1" spans="1:17">
      <c r="A1" s="1"/>
      <c r="B1" s="1"/>
      <c r="C1" s="10" t="s">
        <v>0</v>
      </c>
      <c r="D1" s="1"/>
      <c r="E1" s="1"/>
      <c r="F1" s="1"/>
      <c r="G1" s="1"/>
      <c r="H1" s="1"/>
      <c r="I1" s="1"/>
      <c r="J1" s="1"/>
      <c r="K1" s="1"/>
    </row>
    <row r="2" spans="1:17">
      <c r="A2" s="1"/>
      <c r="B2" s="16" t="s">
        <v>1</v>
      </c>
      <c r="C2" s="35" t="s">
        <v>2</v>
      </c>
      <c r="D2" s="1" t="s">
        <v>3</v>
      </c>
      <c r="E2" s="1"/>
      <c r="F2" s="1"/>
      <c r="G2" s="1"/>
      <c r="H2" s="1"/>
      <c r="I2" s="1"/>
      <c r="J2" s="1"/>
      <c r="K2" s="1"/>
    </row>
    <row r="3" spans="1:17" ht="13.5" thickBot="1">
      <c r="A3" s="1"/>
      <c r="B3" s="16"/>
      <c r="C3" s="16"/>
      <c r="D3" s="1"/>
      <c r="E3" s="1"/>
      <c r="F3" s="1"/>
      <c r="G3" s="1"/>
      <c r="H3" s="1"/>
      <c r="I3" s="1"/>
      <c r="J3" s="1"/>
      <c r="K3" s="1"/>
    </row>
    <row r="4" spans="1:17">
      <c r="A4" s="1"/>
      <c r="B4" s="88" t="s">
        <v>4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</row>
    <row r="5" spans="1:17" ht="13.5" thickBot="1">
      <c r="A5" s="1"/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3"/>
    </row>
    <row r="6" spans="1:17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20"/>
      <c r="M6" s="20"/>
      <c r="N6" s="20"/>
      <c r="O6" s="20"/>
      <c r="P6" s="20"/>
      <c r="Q6" s="21"/>
    </row>
    <row r="7" spans="1:17" ht="13.5" thickBot="1">
      <c r="A7" s="1"/>
      <c r="B7" s="17" t="s">
        <v>5</v>
      </c>
      <c r="C7" s="1"/>
      <c r="D7" s="1"/>
      <c r="E7" s="1"/>
      <c r="F7" s="1"/>
      <c r="G7" s="1"/>
      <c r="H7" s="1"/>
      <c r="I7" s="1"/>
      <c r="J7" s="1"/>
      <c r="K7" s="1"/>
      <c r="Q7" s="13"/>
    </row>
    <row r="8" spans="1:17">
      <c r="A8" s="1"/>
      <c r="B8" s="104" t="s">
        <v>6</v>
      </c>
      <c r="C8" s="104" t="s">
        <v>7</v>
      </c>
      <c r="D8" s="98" t="s">
        <v>8</v>
      </c>
      <c r="E8" s="106" t="s">
        <v>9</v>
      </c>
      <c r="F8" s="107"/>
      <c r="G8" s="102" t="s">
        <v>10</v>
      </c>
      <c r="H8" s="102" t="s">
        <v>11</v>
      </c>
      <c r="I8" s="1"/>
      <c r="J8" s="1"/>
      <c r="K8" s="1"/>
      <c r="Q8" s="13"/>
    </row>
    <row r="9" spans="1:17" ht="13.5" thickBot="1">
      <c r="A9" s="1"/>
      <c r="B9" s="105"/>
      <c r="C9" s="105"/>
      <c r="D9" s="109"/>
      <c r="E9" s="7" t="s">
        <v>12</v>
      </c>
      <c r="F9" s="22" t="s">
        <v>13</v>
      </c>
      <c r="G9" s="108"/>
      <c r="H9" s="103"/>
      <c r="I9" s="1"/>
      <c r="J9" s="1"/>
      <c r="K9" s="1"/>
      <c r="Q9" s="13"/>
    </row>
    <row r="10" spans="1:17">
      <c r="A10" s="1"/>
      <c r="B10" s="26" t="s">
        <v>14</v>
      </c>
      <c r="C10" s="30">
        <v>2</v>
      </c>
      <c r="D10" s="30">
        <v>4</v>
      </c>
      <c r="E10" s="30" t="s">
        <v>15</v>
      </c>
      <c r="F10" s="30">
        <v>100</v>
      </c>
      <c r="G10" s="32">
        <v>5</v>
      </c>
      <c r="H10" s="18" t="s">
        <v>16</v>
      </c>
      <c r="I10" s="10"/>
      <c r="J10" s="1"/>
      <c r="K10" s="1"/>
      <c r="Q10" s="13"/>
    </row>
    <row r="11" spans="1:17" ht="13.5" thickBot="1">
      <c r="A11" s="1"/>
      <c r="B11" s="23" t="s">
        <v>17</v>
      </c>
      <c r="C11" s="31">
        <v>8</v>
      </c>
      <c r="D11" s="31">
        <v>32</v>
      </c>
      <c r="E11" s="34" t="s">
        <v>15</v>
      </c>
      <c r="F11" s="34">
        <v>150</v>
      </c>
      <c r="G11" s="33">
        <v>5</v>
      </c>
      <c r="H11" s="19" t="s">
        <v>16</v>
      </c>
      <c r="I11" s="10"/>
      <c r="J11" s="1"/>
      <c r="K11" s="1"/>
      <c r="Q11" s="13"/>
    </row>
    <row r="12" spans="1:17">
      <c r="A12" s="1"/>
      <c r="B12" s="27"/>
      <c r="C12" s="1"/>
      <c r="D12" s="1"/>
      <c r="E12" s="25"/>
      <c r="G12" s="1"/>
      <c r="H12" s="47"/>
      <c r="I12" s="1"/>
      <c r="J12" s="1"/>
      <c r="K12" s="1"/>
      <c r="Q12" s="13"/>
    </row>
    <row r="13" spans="1:17">
      <c r="A13" s="1"/>
      <c r="B13" s="14"/>
      <c r="Q13" s="13"/>
    </row>
    <row r="14" spans="1:17" ht="13.5" customHeight="1">
      <c r="A14" s="1"/>
      <c r="B14" s="28" t="s">
        <v>18</v>
      </c>
      <c r="C14" s="29"/>
      <c r="D14" s="29"/>
      <c r="E14" s="1"/>
      <c r="F14" s="1"/>
      <c r="G14" s="1"/>
      <c r="H14" s="29"/>
      <c r="I14" s="29"/>
      <c r="J14" s="29"/>
      <c r="K14" s="29"/>
      <c r="L14" s="15"/>
      <c r="Q14" s="13"/>
    </row>
    <row r="15" spans="1:17" ht="12.75" customHeight="1">
      <c r="A15" s="1"/>
      <c r="B15" s="94" t="s">
        <v>6</v>
      </c>
      <c r="C15" s="96" t="s">
        <v>7</v>
      </c>
      <c r="D15" s="98" t="s">
        <v>8</v>
      </c>
      <c r="E15" s="101" t="s">
        <v>9</v>
      </c>
      <c r="F15" s="101"/>
      <c r="G15" s="114" t="s">
        <v>10</v>
      </c>
      <c r="H15" s="112" t="s">
        <v>9</v>
      </c>
      <c r="I15" s="112"/>
      <c r="J15" s="112"/>
      <c r="K15" s="112"/>
      <c r="L15" s="112"/>
      <c r="M15" s="112"/>
      <c r="N15" s="113"/>
      <c r="O15" s="110" t="s">
        <v>19</v>
      </c>
      <c r="P15" s="102" t="s">
        <v>20</v>
      </c>
      <c r="Q15" s="13"/>
    </row>
    <row r="16" spans="1:17" ht="15">
      <c r="A16" s="1"/>
      <c r="B16" s="95"/>
      <c r="C16" s="97"/>
      <c r="D16" s="99"/>
      <c r="E16" s="101" t="s">
        <v>21</v>
      </c>
      <c r="F16" s="101"/>
      <c r="G16" s="114"/>
      <c r="H16" s="71" t="s">
        <v>22</v>
      </c>
      <c r="I16" s="46"/>
      <c r="J16" s="49" t="s">
        <v>23</v>
      </c>
      <c r="K16" s="49"/>
      <c r="L16" s="42" t="s">
        <v>24</v>
      </c>
      <c r="M16" s="43"/>
      <c r="N16" s="86" t="s">
        <v>25</v>
      </c>
      <c r="O16" s="111"/>
      <c r="P16" s="100"/>
      <c r="Q16" s="13"/>
    </row>
    <row r="17" spans="1:17" ht="12.75" customHeight="1">
      <c r="A17" s="1"/>
      <c r="B17" s="95"/>
      <c r="C17" s="97"/>
      <c r="D17" s="100"/>
      <c r="E17" s="72" t="s">
        <v>12</v>
      </c>
      <c r="F17" s="44" t="s">
        <v>13</v>
      </c>
      <c r="G17" s="115"/>
      <c r="H17" s="43" t="s">
        <v>12</v>
      </c>
      <c r="I17" s="24" t="s">
        <v>26</v>
      </c>
      <c r="J17" s="24" t="s">
        <v>12</v>
      </c>
      <c r="K17" s="24" t="s">
        <v>26</v>
      </c>
      <c r="L17" s="44"/>
      <c r="M17" s="45"/>
      <c r="N17" s="87"/>
      <c r="O17" s="111"/>
      <c r="P17" s="100"/>
      <c r="Q17" s="13"/>
    </row>
    <row r="18" spans="1:17" ht="13.5" customHeight="1">
      <c r="A18" s="4"/>
      <c r="B18" s="73" t="s">
        <v>27</v>
      </c>
      <c r="C18" s="74">
        <v>10</v>
      </c>
      <c r="D18" s="75">
        <v>64</v>
      </c>
      <c r="E18" s="75" t="s">
        <v>15</v>
      </c>
      <c r="F18" s="76">
        <v>150</v>
      </c>
      <c r="G18" s="77">
        <v>2</v>
      </c>
      <c r="H18" s="78" t="s">
        <v>15</v>
      </c>
      <c r="I18" s="79">
        <v>200</v>
      </c>
      <c r="J18" s="80" t="s">
        <v>28</v>
      </c>
      <c r="K18" s="81">
        <v>300</v>
      </c>
      <c r="L18" s="82" t="s">
        <v>29</v>
      </c>
      <c r="M18" s="82">
        <v>10000</v>
      </c>
      <c r="N18" s="83">
        <v>1</v>
      </c>
      <c r="O18" s="83">
        <v>800</v>
      </c>
      <c r="P18" s="84" t="s">
        <v>16</v>
      </c>
      <c r="Q18" s="48"/>
    </row>
    <row r="19" spans="1:17" ht="15.75" customHeight="1">
      <c r="A19" s="4"/>
      <c r="B19" s="10"/>
      <c r="C19" s="1"/>
      <c r="D19" s="1"/>
      <c r="E19" s="25"/>
      <c r="K19" s="1"/>
      <c r="M19" s="1"/>
    </row>
    <row r="20" spans="1:17" ht="15">
      <c r="A20" s="1"/>
      <c r="B20" t="s">
        <v>30</v>
      </c>
      <c r="C20" s="1"/>
      <c r="D20" s="1"/>
      <c r="E20" s="2"/>
      <c r="F20" s="3"/>
      <c r="G20" s="1"/>
      <c r="H20" s="1"/>
      <c r="I20" s="1"/>
      <c r="J20" s="1"/>
      <c r="K20" s="1"/>
    </row>
    <row r="21" spans="1:17" ht="13.5" customHeight="1">
      <c r="A21" s="5"/>
      <c r="B21" t="s">
        <v>31</v>
      </c>
    </row>
    <row r="22" spans="1:17">
      <c r="A22" s="4"/>
      <c r="M22" s="6" t="s">
        <v>32</v>
      </c>
      <c r="N22" s="6" t="s">
        <v>33</v>
      </c>
    </row>
    <row r="23" spans="1:17">
      <c r="A23" s="4"/>
      <c r="B23" t="s">
        <v>34</v>
      </c>
      <c r="J23" s="6" t="s">
        <v>35</v>
      </c>
      <c r="K23">
        <f>(C10*G10+C11*G11+C18*2)*3.2</f>
        <v>224</v>
      </c>
      <c r="M23" s="64">
        <v>2334</v>
      </c>
      <c r="N23" s="64">
        <v>1800</v>
      </c>
    </row>
    <row r="24" spans="1:17">
      <c r="A24" s="4"/>
      <c r="B24" t="s">
        <v>36</v>
      </c>
      <c r="J24" s="6" t="s">
        <v>37</v>
      </c>
      <c r="K24">
        <f>D10*G10+D11*G11+D18*G18</f>
        <v>308</v>
      </c>
      <c r="M24" s="65">
        <f>M23*44.14</f>
        <v>103022.76</v>
      </c>
      <c r="N24" s="65">
        <f>N23*44.14</f>
        <v>79452</v>
      </c>
      <c r="O24" s="9"/>
    </row>
    <row r="25" spans="1:17" ht="15">
      <c r="A25" s="4"/>
      <c r="J25" s="6" t="s">
        <v>38</v>
      </c>
      <c r="K25">
        <f>G11*F11+(150+200+300)*G18</f>
        <v>2050</v>
      </c>
      <c r="M25" s="8"/>
    </row>
    <row r="26" spans="1:17">
      <c r="A26" s="4"/>
      <c r="B26" t="s">
        <v>39</v>
      </c>
      <c r="J26" s="6" t="s">
        <v>40</v>
      </c>
      <c r="K26">
        <f>G10*F10</f>
        <v>500</v>
      </c>
    </row>
    <row r="27" spans="1:17">
      <c r="A27" s="4"/>
      <c r="B27" t="s">
        <v>41</v>
      </c>
      <c r="L27" s="1"/>
    </row>
    <row r="28" spans="1:17">
      <c r="A28" s="1"/>
      <c r="B28" t="s">
        <v>42</v>
      </c>
      <c r="L28" s="1"/>
    </row>
    <row r="29" spans="1:17">
      <c r="A29" s="4"/>
      <c r="B29" t="s">
        <v>43</v>
      </c>
    </row>
    <row r="30" spans="1:17">
      <c r="A30" s="4"/>
    </row>
    <row r="31" spans="1:17">
      <c r="A31" s="4"/>
    </row>
    <row r="32" spans="1:17">
      <c r="A32" s="4"/>
    </row>
    <row r="33" spans="1:16">
      <c r="A33" s="4"/>
    </row>
    <row r="34" spans="1:16">
      <c r="A34" s="4"/>
      <c r="P34" s="6"/>
    </row>
    <row r="35" spans="1:16" ht="15">
      <c r="A35" s="69">
        <v>1</v>
      </c>
      <c r="B35" s="70" t="s">
        <v>44</v>
      </c>
      <c r="C35" s="66" t="s">
        <v>45</v>
      </c>
      <c r="D35" s="66" t="s">
        <v>46</v>
      </c>
      <c r="E35" s="66" t="s">
        <v>47</v>
      </c>
      <c r="F35" s="66" t="s">
        <v>48</v>
      </c>
      <c r="G35" s="66" t="s">
        <v>49</v>
      </c>
      <c r="H35" s="66" t="s">
        <v>50</v>
      </c>
      <c r="I35" s="66" t="s">
        <v>51</v>
      </c>
      <c r="J35" s="67"/>
    </row>
    <row r="36" spans="1:16" ht="15">
      <c r="A36" s="67">
        <v>1</v>
      </c>
      <c r="B36" s="70">
        <f>A36*$A$35</f>
        <v>1</v>
      </c>
      <c r="C36" s="68" t="s">
        <v>52</v>
      </c>
      <c r="D36" s="68" t="s">
        <v>53</v>
      </c>
      <c r="E36" s="68" t="s">
        <v>54</v>
      </c>
      <c r="F36" s="68">
        <v>3</v>
      </c>
      <c r="G36" s="68">
        <v>14</v>
      </c>
      <c r="H36" s="67">
        <f>F36*B36</f>
        <v>3</v>
      </c>
      <c r="I36" s="67">
        <f>G36*B36</f>
        <v>14</v>
      </c>
      <c r="J36" s="67"/>
    </row>
    <row r="37" spans="1:16" ht="15">
      <c r="A37" s="67">
        <v>1</v>
      </c>
      <c r="B37" s="70">
        <f>A37*$A$35</f>
        <v>1</v>
      </c>
      <c r="C37" s="68" t="s">
        <v>55</v>
      </c>
      <c r="D37" s="68" t="s">
        <v>53</v>
      </c>
      <c r="E37" s="68" t="s">
        <v>54</v>
      </c>
      <c r="F37" s="68">
        <v>1</v>
      </c>
      <c r="G37" s="68">
        <v>8</v>
      </c>
      <c r="H37" s="67">
        <f>F37*B37</f>
        <v>1</v>
      </c>
      <c r="I37" s="67">
        <f>G37*B37</f>
        <v>8</v>
      </c>
      <c r="J37" s="67"/>
    </row>
    <row r="38" spans="1:16" ht="15">
      <c r="A38" s="67">
        <v>1</v>
      </c>
      <c r="B38" s="70">
        <f>A38*$A$35</f>
        <v>1</v>
      </c>
      <c r="C38" s="68" t="s">
        <v>56</v>
      </c>
      <c r="D38" s="68" t="s">
        <v>57</v>
      </c>
      <c r="E38" s="68" t="s">
        <v>58</v>
      </c>
      <c r="F38" s="68">
        <v>0.2</v>
      </c>
      <c r="G38" s="68">
        <v>0.5</v>
      </c>
      <c r="H38" s="67">
        <f>F38*B38</f>
        <v>0.2</v>
      </c>
      <c r="I38" s="67">
        <f>G38*B38</f>
        <v>0.5</v>
      </c>
      <c r="J38" s="67"/>
    </row>
    <row r="39" spans="1:16" ht="15">
      <c r="A39" s="67">
        <v>1</v>
      </c>
      <c r="B39" s="70">
        <f>A39*$A$35</f>
        <v>1</v>
      </c>
      <c r="C39" s="68" t="s">
        <v>59</v>
      </c>
      <c r="D39" s="68" t="s">
        <v>60</v>
      </c>
      <c r="E39" s="68" t="s">
        <v>61</v>
      </c>
      <c r="F39" s="68">
        <v>0.3</v>
      </c>
      <c r="G39" s="68">
        <v>0.61399999999999999</v>
      </c>
      <c r="H39" s="67">
        <f>F39*B39</f>
        <v>0.3</v>
      </c>
      <c r="I39" s="67">
        <f>G39*B39</f>
        <v>0.61399999999999999</v>
      </c>
      <c r="J39" s="67"/>
    </row>
    <row r="40" spans="1:16" ht="15">
      <c r="A40" s="67">
        <v>1</v>
      </c>
      <c r="B40" s="70">
        <f>A40*$A$35</f>
        <v>1</v>
      </c>
      <c r="C40" s="68" t="s">
        <v>62</v>
      </c>
      <c r="D40" s="68" t="s">
        <v>63</v>
      </c>
      <c r="E40" s="68" t="s">
        <v>64</v>
      </c>
      <c r="F40" s="68">
        <v>0.1</v>
      </c>
      <c r="G40" s="68">
        <v>1</v>
      </c>
      <c r="H40" s="67">
        <f>F40*B40</f>
        <v>0.1</v>
      </c>
      <c r="I40" s="67">
        <f>G40*B40</f>
        <v>1</v>
      </c>
      <c r="J40" s="67"/>
    </row>
    <row r="41" spans="1:16" ht="15">
      <c r="A41" s="67">
        <v>2</v>
      </c>
      <c r="B41" s="70">
        <f>A41</f>
        <v>2</v>
      </c>
      <c r="C41" s="68" t="s">
        <v>65</v>
      </c>
      <c r="D41" s="68" t="s">
        <v>66</v>
      </c>
      <c r="E41" s="68" t="s">
        <v>67</v>
      </c>
      <c r="F41" s="68">
        <v>2</v>
      </c>
      <c r="G41" s="68">
        <v>12</v>
      </c>
      <c r="H41" s="67">
        <f>F41*B41</f>
        <v>4</v>
      </c>
      <c r="I41" s="67">
        <f>G41*B41</f>
        <v>24</v>
      </c>
      <c r="J41" s="67"/>
      <c r="P41" s="6"/>
    </row>
    <row r="42" spans="1:16" ht="15">
      <c r="A42" s="67">
        <v>2</v>
      </c>
      <c r="B42" s="70">
        <f>A42</f>
        <v>2</v>
      </c>
      <c r="C42" s="68" t="s">
        <v>68</v>
      </c>
      <c r="D42" s="68" t="s">
        <v>53</v>
      </c>
      <c r="E42" s="68" t="s">
        <v>67</v>
      </c>
      <c r="F42" s="68">
        <v>1</v>
      </c>
      <c r="G42" s="68">
        <v>8</v>
      </c>
      <c r="H42" s="67">
        <f>F42*B42</f>
        <v>2</v>
      </c>
      <c r="I42" s="67">
        <f>G42*B42</f>
        <v>16</v>
      </c>
      <c r="J42" s="67"/>
    </row>
    <row r="43" spans="1:16" ht="15">
      <c r="A43" s="67">
        <v>1</v>
      </c>
      <c r="B43" s="70">
        <f>A43</f>
        <v>1</v>
      </c>
      <c r="C43" s="68" t="s">
        <v>69</v>
      </c>
      <c r="D43" s="68" t="s">
        <v>70</v>
      </c>
      <c r="E43" s="68" t="s">
        <v>71</v>
      </c>
      <c r="F43" s="68">
        <v>0.1</v>
      </c>
      <c r="G43" s="68">
        <v>0.5</v>
      </c>
      <c r="H43" s="67">
        <f>F43*B43</f>
        <v>0.1</v>
      </c>
      <c r="I43" s="67">
        <f>G43*B43</f>
        <v>0.5</v>
      </c>
      <c r="J43" s="67"/>
      <c r="O43" s="6"/>
    </row>
    <row r="44" spans="1:16" ht="15">
      <c r="A44" s="67">
        <v>1</v>
      </c>
      <c r="B44" s="70">
        <f>A44*$A$35</f>
        <v>1</v>
      </c>
      <c r="C44" s="68" t="s">
        <v>72</v>
      </c>
      <c r="D44" s="68" t="s">
        <v>66</v>
      </c>
      <c r="E44" s="68" t="s">
        <v>73</v>
      </c>
      <c r="F44" s="68">
        <v>0.3</v>
      </c>
      <c r="G44" s="68">
        <v>0.6</v>
      </c>
      <c r="H44" s="67">
        <f>F44*B44</f>
        <v>0.3</v>
      </c>
      <c r="I44" s="67">
        <f>G44*B44</f>
        <v>0.6</v>
      </c>
      <c r="J44" s="67"/>
    </row>
    <row r="45" spans="1:16" ht="15">
      <c r="A45" s="67">
        <v>1</v>
      </c>
      <c r="B45" s="70">
        <f>A45*$A$35</f>
        <v>1</v>
      </c>
      <c r="C45" s="68" t="s">
        <v>74</v>
      </c>
      <c r="D45" s="68" t="s">
        <v>60</v>
      </c>
      <c r="E45" s="68" t="s">
        <v>75</v>
      </c>
      <c r="F45" s="68">
        <v>0.4</v>
      </c>
      <c r="G45" s="68">
        <v>0.6</v>
      </c>
      <c r="H45" s="67">
        <f>F45*B45</f>
        <v>0.4</v>
      </c>
      <c r="I45" s="67">
        <f>G45*B45</f>
        <v>0.6</v>
      </c>
      <c r="J45" s="67"/>
      <c r="O45" s="6"/>
    </row>
    <row r="46" spans="1:16" ht="15">
      <c r="A46" s="67">
        <v>3</v>
      </c>
      <c r="B46" s="70">
        <f>A46*$A$35</f>
        <v>3</v>
      </c>
      <c r="C46" s="68" t="s">
        <v>76</v>
      </c>
      <c r="D46" s="68" t="s">
        <v>60</v>
      </c>
      <c r="E46" s="68" t="s">
        <v>64</v>
      </c>
      <c r="F46" s="68">
        <v>1</v>
      </c>
      <c r="G46" s="68">
        <v>2</v>
      </c>
      <c r="H46" s="67">
        <f>F46*B46</f>
        <v>3</v>
      </c>
      <c r="I46" s="67">
        <f>G46*B46</f>
        <v>6</v>
      </c>
      <c r="J46" s="67"/>
    </row>
    <row r="47" spans="1:16" ht="15">
      <c r="A47" s="67">
        <v>1</v>
      </c>
      <c r="B47" s="70">
        <f>A47</f>
        <v>1</v>
      </c>
      <c r="C47" s="68" t="s">
        <v>77</v>
      </c>
      <c r="D47" s="68" t="s">
        <v>66</v>
      </c>
      <c r="E47" s="68" t="s">
        <v>73</v>
      </c>
      <c r="F47" s="68">
        <v>4</v>
      </c>
      <c r="G47" s="68">
        <v>6</v>
      </c>
      <c r="H47" s="67">
        <f>F47*B47</f>
        <v>4</v>
      </c>
      <c r="I47" s="67">
        <f>G47*B47</f>
        <v>6</v>
      </c>
      <c r="J47" s="67"/>
    </row>
    <row r="48" spans="1:16" ht="15">
      <c r="A48" s="67">
        <v>2</v>
      </c>
      <c r="B48" s="70">
        <f>A48*$A$35</f>
        <v>2</v>
      </c>
      <c r="C48" s="68" t="s">
        <v>78</v>
      </c>
      <c r="D48" s="68" t="s">
        <v>79</v>
      </c>
      <c r="E48" s="68" t="s">
        <v>80</v>
      </c>
      <c r="F48" s="68">
        <v>0.5</v>
      </c>
      <c r="G48" s="68">
        <v>1</v>
      </c>
      <c r="H48" s="67">
        <f>F48*B48</f>
        <v>1</v>
      </c>
      <c r="I48" s="67">
        <f>G48*B48</f>
        <v>2</v>
      </c>
      <c r="J48" s="67"/>
    </row>
    <row r="49" spans="1:11" ht="15">
      <c r="A49" s="67">
        <v>1</v>
      </c>
      <c r="B49" s="70">
        <f>A49*$A$35</f>
        <v>1</v>
      </c>
      <c r="C49" s="68" t="s">
        <v>81</v>
      </c>
      <c r="D49" s="68" t="s">
        <v>60</v>
      </c>
      <c r="E49" s="68" t="s">
        <v>75</v>
      </c>
      <c r="F49" s="68">
        <v>0.3</v>
      </c>
      <c r="G49" s="68">
        <v>0.6</v>
      </c>
      <c r="H49" s="67">
        <f>F49*B49</f>
        <v>0.3</v>
      </c>
      <c r="I49" s="67">
        <f>G49*B49</f>
        <v>0.6</v>
      </c>
      <c r="J49" s="67"/>
    </row>
    <row r="50" spans="1:11" ht="15">
      <c r="A50" s="67">
        <v>1</v>
      </c>
      <c r="B50" s="70">
        <v>2</v>
      </c>
      <c r="C50" s="68" t="s">
        <v>82</v>
      </c>
      <c r="D50" s="68" t="s">
        <v>63</v>
      </c>
      <c r="E50" s="68" t="s">
        <v>83</v>
      </c>
      <c r="F50" s="68">
        <v>0.1</v>
      </c>
      <c r="G50" s="68">
        <v>1</v>
      </c>
      <c r="H50" s="67">
        <f>F50*B50</f>
        <v>0.2</v>
      </c>
      <c r="I50" s="67">
        <f>G50*B50</f>
        <v>2</v>
      </c>
      <c r="J50" s="67"/>
    </row>
    <row r="51" spans="1:11" ht="15">
      <c r="A51" s="67">
        <v>1</v>
      </c>
      <c r="B51" s="70">
        <v>2</v>
      </c>
      <c r="C51" s="68" t="s">
        <v>84</v>
      </c>
      <c r="D51" s="68" t="s">
        <v>63</v>
      </c>
      <c r="E51" s="68" t="s">
        <v>83</v>
      </c>
      <c r="F51" s="68">
        <v>1</v>
      </c>
      <c r="G51" s="68">
        <v>1</v>
      </c>
      <c r="H51" s="67">
        <f>F51*B51</f>
        <v>2</v>
      </c>
      <c r="I51" s="67">
        <f>G51*B51</f>
        <v>2</v>
      </c>
      <c r="J51" s="67"/>
    </row>
    <row r="52" spans="1:11" ht="15">
      <c r="A52" s="67">
        <v>2</v>
      </c>
      <c r="B52" s="70"/>
      <c r="C52" s="68" t="s">
        <v>85</v>
      </c>
      <c r="D52" s="68" t="s">
        <v>70</v>
      </c>
      <c r="E52" s="68" t="s">
        <v>58</v>
      </c>
      <c r="F52" s="68">
        <v>0.5</v>
      </c>
      <c r="G52" s="68">
        <v>1</v>
      </c>
      <c r="H52" s="67">
        <f>F52*B52</f>
        <v>0</v>
      </c>
      <c r="I52" s="67">
        <f>G52*B52</f>
        <v>0</v>
      </c>
      <c r="J52" s="67"/>
    </row>
    <row r="53" spans="1:11" ht="15">
      <c r="A53" s="67">
        <v>2</v>
      </c>
      <c r="B53" s="70">
        <f>A53</f>
        <v>2</v>
      </c>
      <c r="C53" s="68" t="s">
        <v>86</v>
      </c>
      <c r="D53" s="68" t="s">
        <v>66</v>
      </c>
      <c r="E53" s="68" t="s">
        <v>67</v>
      </c>
      <c r="F53" s="68">
        <v>4</v>
      </c>
      <c r="G53" s="68">
        <v>6</v>
      </c>
      <c r="H53" s="67">
        <f>F53*B53</f>
        <v>8</v>
      </c>
      <c r="I53" s="67">
        <f>G53*B53</f>
        <v>12</v>
      </c>
      <c r="J53" s="67"/>
    </row>
    <row r="54" spans="1:11" ht="13.5" customHeight="1">
      <c r="A54" s="67">
        <v>1</v>
      </c>
      <c r="B54" s="70">
        <f>A54*$A$35</f>
        <v>1</v>
      </c>
      <c r="C54" s="68" t="s">
        <v>87</v>
      </c>
      <c r="D54" s="68" t="s">
        <v>53</v>
      </c>
      <c r="E54" s="68" t="s">
        <v>64</v>
      </c>
      <c r="F54" s="68">
        <v>1</v>
      </c>
      <c r="G54" s="68">
        <v>0.56999999999999995</v>
      </c>
      <c r="H54" s="67">
        <f>F54*B54</f>
        <v>1</v>
      </c>
      <c r="I54" s="67">
        <f>G54*B54</f>
        <v>0.56999999999999995</v>
      </c>
      <c r="J54" s="67"/>
      <c r="K54" s="1"/>
    </row>
    <row r="55" spans="1:11" ht="15">
      <c r="A55" s="67">
        <v>2</v>
      </c>
      <c r="B55" s="70">
        <f>A55*$A$35</f>
        <v>2</v>
      </c>
      <c r="C55" s="68" t="s">
        <v>88</v>
      </c>
      <c r="D55" s="68" t="s">
        <v>53</v>
      </c>
      <c r="E55" s="68" t="s">
        <v>64</v>
      </c>
      <c r="F55" s="68">
        <v>1</v>
      </c>
      <c r="G55" s="68">
        <v>2</v>
      </c>
      <c r="H55" s="67">
        <f>F55*B55</f>
        <v>2</v>
      </c>
      <c r="I55" s="67">
        <f>G55*B55</f>
        <v>4</v>
      </c>
      <c r="J55" s="67"/>
      <c r="K55" s="38"/>
    </row>
    <row r="56" spans="1:11" ht="15">
      <c r="A56" s="67"/>
      <c r="B56" s="67"/>
      <c r="C56" s="67"/>
      <c r="D56" s="67"/>
      <c r="E56" s="67"/>
      <c r="F56" s="67"/>
      <c r="G56" s="67"/>
      <c r="H56" s="67">
        <f>SUM(H36:H55)</f>
        <v>32.9</v>
      </c>
      <c r="I56" s="67">
        <f>SUM(I36:I55)</f>
        <v>100.98399999999998</v>
      </c>
      <c r="J56" s="67"/>
      <c r="K56" s="38"/>
    </row>
    <row r="57" spans="1:11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>
      <c r="B58" s="5"/>
      <c r="C58" s="5"/>
      <c r="D58" s="5"/>
      <c r="E58" s="5"/>
      <c r="F58" s="1"/>
      <c r="G58" s="39"/>
      <c r="H58" s="1"/>
      <c r="I58" s="37"/>
      <c r="J58" s="37"/>
      <c r="K58" s="16"/>
    </row>
    <row r="59" spans="1:11" ht="15">
      <c r="B59" s="4"/>
      <c r="C59" s="37"/>
      <c r="D59" s="37"/>
      <c r="E59" s="37"/>
      <c r="F59" s="1"/>
      <c r="G59" s="1"/>
      <c r="H59" s="1"/>
    </row>
    <row r="60" spans="1:11">
      <c r="B60" s="4"/>
      <c r="C60" s="1"/>
      <c r="D60" s="1"/>
      <c r="E60" s="1"/>
      <c r="F60" s="1"/>
      <c r="G60" s="1"/>
      <c r="H60" s="10"/>
      <c r="I60" s="1"/>
      <c r="J60" s="1"/>
      <c r="K60" s="1"/>
    </row>
    <row r="61" spans="1:11">
      <c r="B61" s="4"/>
      <c r="C61" s="10"/>
      <c r="D61" s="1"/>
      <c r="E61" s="1"/>
      <c r="F61" s="1"/>
      <c r="G61" s="1"/>
      <c r="H61" s="10"/>
      <c r="I61" s="1"/>
      <c r="J61" s="1"/>
      <c r="K61" s="1"/>
    </row>
    <row r="62" spans="1:11">
      <c r="B62" s="4"/>
      <c r="C62" s="10"/>
      <c r="D62" s="1"/>
      <c r="E62" s="1"/>
      <c r="F62" s="1"/>
      <c r="G62" s="1"/>
      <c r="H62" s="1"/>
      <c r="I62" s="1"/>
      <c r="J62" s="1"/>
      <c r="K62" s="1"/>
    </row>
    <row r="63" spans="1:11">
      <c r="B63" s="4"/>
      <c r="C63" s="1"/>
      <c r="D63" s="1"/>
      <c r="E63" s="1"/>
      <c r="F63" s="1"/>
      <c r="G63" s="1"/>
      <c r="H63" s="10"/>
      <c r="I63" s="1"/>
      <c r="J63" s="1"/>
      <c r="K63" s="1"/>
    </row>
    <row r="64" spans="1:11">
      <c r="B64" s="4"/>
      <c r="C64" s="10"/>
      <c r="D64" s="1"/>
      <c r="E64" s="1"/>
      <c r="F64" s="1"/>
      <c r="G64" s="1"/>
      <c r="H64" s="10"/>
      <c r="I64" s="1"/>
      <c r="J64" s="1"/>
      <c r="K64" s="1"/>
    </row>
    <row r="65" spans="2:11">
      <c r="B65" s="4"/>
      <c r="C65" s="10"/>
      <c r="D65" s="1"/>
      <c r="E65" s="1"/>
      <c r="F65" s="1"/>
      <c r="G65" s="10"/>
      <c r="H65" s="1"/>
      <c r="I65" s="1"/>
      <c r="J65" s="1"/>
      <c r="K65" s="1"/>
    </row>
    <row r="66" spans="2:11">
      <c r="B66" s="4"/>
      <c r="C66" s="1"/>
      <c r="D66" s="1"/>
      <c r="E66" s="1"/>
      <c r="F66" s="1"/>
      <c r="G66" s="1"/>
      <c r="H66" s="1"/>
      <c r="I66" s="1"/>
      <c r="J66" s="1"/>
      <c r="K66" s="1"/>
    </row>
    <row r="67" spans="2:11">
      <c r="B67" s="4"/>
      <c r="C67" s="1"/>
      <c r="D67" s="1"/>
      <c r="E67" s="1"/>
      <c r="F67" s="1"/>
      <c r="G67" s="1"/>
      <c r="H67" s="10"/>
      <c r="I67" s="1"/>
      <c r="J67" s="1"/>
      <c r="K67" s="1"/>
    </row>
    <row r="68" spans="2:11">
      <c r="B68" s="4"/>
      <c r="C68" s="1"/>
      <c r="D68" s="1"/>
      <c r="E68" s="1"/>
      <c r="F68" s="1"/>
      <c r="G68" s="10"/>
      <c r="H68" s="1"/>
      <c r="I68" s="1"/>
      <c r="J68" s="1"/>
      <c r="K68" s="1"/>
    </row>
    <row r="69" spans="2:11">
      <c r="B69" s="4"/>
      <c r="C69" s="10"/>
      <c r="D69" s="1"/>
      <c r="E69" s="1"/>
      <c r="F69" s="1"/>
      <c r="G69" s="10"/>
      <c r="H69" s="10"/>
      <c r="I69" s="1"/>
      <c r="J69" s="1"/>
      <c r="K69" s="1"/>
    </row>
    <row r="70" spans="2:11">
      <c r="B70" s="4"/>
      <c r="C70" s="16"/>
      <c r="D70" s="1"/>
      <c r="E70" s="1"/>
      <c r="F70" s="1"/>
      <c r="G70" s="1"/>
      <c r="H70" s="10"/>
      <c r="I70" s="1"/>
      <c r="J70" s="1"/>
      <c r="K70" s="1"/>
    </row>
    <row r="71" spans="2:11">
      <c r="B71" s="1"/>
      <c r="C71" s="1"/>
      <c r="D71" s="1"/>
      <c r="E71" s="1"/>
      <c r="F71" s="1"/>
      <c r="G71" s="1"/>
      <c r="H71" s="1"/>
      <c r="I71" s="1"/>
      <c r="J71" s="1"/>
    </row>
    <row r="72" spans="2:11" ht="15">
      <c r="B72" s="4"/>
      <c r="C72" s="37"/>
      <c r="D72" s="37"/>
      <c r="E72" s="37"/>
      <c r="F72" s="1"/>
      <c r="G72" s="1"/>
      <c r="H72" s="10"/>
      <c r="I72" s="1"/>
      <c r="J72" s="1"/>
      <c r="K72" s="1"/>
    </row>
    <row r="73" spans="2:11">
      <c r="B73" s="4"/>
      <c r="C73" s="1"/>
      <c r="D73" s="1"/>
      <c r="E73" s="1"/>
      <c r="F73" s="1"/>
      <c r="G73" s="10"/>
      <c r="H73" s="1"/>
      <c r="I73" s="1"/>
      <c r="J73" s="1"/>
      <c r="K73" s="1"/>
    </row>
    <row r="74" spans="2:11">
      <c r="B74" s="4"/>
      <c r="C74" s="10"/>
      <c r="D74" s="1"/>
      <c r="E74" s="1"/>
      <c r="F74" s="1"/>
      <c r="G74" s="1"/>
      <c r="H74" s="10"/>
      <c r="I74" s="1"/>
      <c r="J74" s="1"/>
      <c r="K74" s="1"/>
    </row>
    <row r="75" spans="2:11">
      <c r="B75" s="4"/>
      <c r="C75" s="10"/>
      <c r="D75" s="1"/>
      <c r="E75" s="1"/>
      <c r="F75" s="1"/>
      <c r="G75" s="1"/>
      <c r="H75" s="10"/>
      <c r="I75" s="1"/>
      <c r="J75" s="1"/>
      <c r="K75" s="1"/>
    </row>
    <row r="76" spans="2:11">
      <c r="B76" s="4"/>
      <c r="C76" s="1"/>
      <c r="D76" s="1"/>
      <c r="E76" s="1"/>
      <c r="F76" s="1"/>
      <c r="G76" s="10"/>
      <c r="H76" s="1"/>
      <c r="I76" s="1"/>
      <c r="J76" s="1"/>
      <c r="K76" s="1"/>
    </row>
    <row r="77" spans="2:11">
      <c r="B77" s="4"/>
      <c r="C77" s="1"/>
      <c r="D77" s="1"/>
      <c r="E77" s="1"/>
      <c r="F77" s="1"/>
      <c r="G77" s="1"/>
      <c r="H77" s="10"/>
      <c r="I77" s="1"/>
      <c r="J77" s="1"/>
      <c r="K77" s="1"/>
    </row>
    <row r="78" spans="2:11">
      <c r="B78" s="4"/>
      <c r="C78" s="10"/>
      <c r="D78" s="1"/>
      <c r="E78" s="1"/>
      <c r="F78" s="1"/>
      <c r="G78" s="1"/>
      <c r="H78" s="10"/>
      <c r="I78" s="1"/>
      <c r="J78" s="1"/>
      <c r="K78" s="1"/>
    </row>
    <row r="79" spans="2:11">
      <c r="B79" s="4"/>
      <c r="C79" s="10"/>
      <c r="D79" s="1"/>
      <c r="E79" s="1"/>
      <c r="F79" s="1"/>
      <c r="G79" s="1"/>
      <c r="H79" s="10"/>
      <c r="I79" s="1"/>
      <c r="J79" s="1"/>
      <c r="K79" s="1"/>
    </row>
    <row r="80" spans="2:11">
      <c r="B80" s="4"/>
      <c r="C80" s="1"/>
      <c r="D80" s="1"/>
      <c r="E80" s="1"/>
      <c r="F80" s="1"/>
      <c r="G80" s="1"/>
      <c r="H80" s="10"/>
      <c r="I80" s="1"/>
      <c r="J80" s="1"/>
      <c r="K80" s="1"/>
    </row>
    <row r="81" spans="2:11">
      <c r="B81" s="4"/>
      <c r="C81" s="1"/>
      <c r="D81" s="1"/>
      <c r="E81" s="1"/>
      <c r="F81" s="1"/>
      <c r="G81" s="1"/>
      <c r="H81" s="10"/>
      <c r="I81" s="1"/>
      <c r="J81" s="1"/>
      <c r="K81" s="1"/>
    </row>
    <row r="82" spans="2:11">
      <c r="B82" s="4"/>
      <c r="C82" s="10"/>
      <c r="D82" s="1"/>
      <c r="E82" s="1"/>
      <c r="F82" s="1"/>
      <c r="G82" s="1"/>
      <c r="H82" s="10"/>
      <c r="I82" s="1"/>
      <c r="J82" s="1"/>
      <c r="K82" s="1"/>
    </row>
    <row r="83" spans="2:11">
      <c r="B83" s="4"/>
      <c r="C83" s="16"/>
      <c r="D83" s="1"/>
      <c r="E83" s="1"/>
      <c r="F83" s="1"/>
      <c r="G83" s="1"/>
      <c r="H83" s="10"/>
      <c r="I83" s="1"/>
      <c r="J83" s="1"/>
      <c r="K83" s="1"/>
    </row>
    <row r="84" spans="2:11">
      <c r="B84" s="1"/>
      <c r="C84" s="1"/>
      <c r="D84" s="1"/>
      <c r="E84" s="1"/>
      <c r="G84" s="1"/>
      <c r="H84" s="1"/>
      <c r="I84" s="1"/>
      <c r="J84" s="1"/>
      <c r="K84" s="1"/>
    </row>
    <row r="85" spans="2:11" ht="15">
      <c r="B85" s="36"/>
      <c r="D85" s="37"/>
      <c r="E85" s="37"/>
      <c r="G85" s="10"/>
      <c r="H85" s="10"/>
      <c r="I85" s="1"/>
      <c r="J85" s="1"/>
      <c r="K85" s="1"/>
    </row>
    <row r="86" spans="2:11">
      <c r="B86" s="36"/>
      <c r="C86" s="40"/>
      <c r="G86" s="10"/>
      <c r="H86" s="10"/>
      <c r="I86" s="1"/>
      <c r="J86" s="1"/>
      <c r="K86" s="1"/>
    </row>
    <row r="87" spans="2:11">
      <c r="B87" s="1"/>
      <c r="C87" s="1"/>
      <c r="G87" s="41"/>
      <c r="K87" s="1"/>
    </row>
  </sheetData>
  <mergeCells count="17">
    <mergeCell ref="G15:G17"/>
    <mergeCell ref="N16:N17"/>
    <mergeCell ref="B4:Q5"/>
    <mergeCell ref="B15:B17"/>
    <mergeCell ref="C15:C17"/>
    <mergeCell ref="D15:D17"/>
    <mergeCell ref="E16:F16"/>
    <mergeCell ref="H8:H9"/>
    <mergeCell ref="B8:B9"/>
    <mergeCell ref="C8:C9"/>
    <mergeCell ref="E8:F8"/>
    <mergeCell ref="G8:G9"/>
    <mergeCell ref="D8:D9"/>
    <mergeCell ref="O15:O17"/>
    <mergeCell ref="P15:P17"/>
    <mergeCell ref="E15:F15"/>
    <mergeCell ref="H15:N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37D9-5966-44AF-8E13-77235932A73B}">
  <dimension ref="A1:F24"/>
  <sheetViews>
    <sheetView workbookViewId="0">
      <selection activeCell="F24" sqref="F24"/>
    </sheetView>
  </sheetViews>
  <sheetFormatPr defaultRowHeight="12.75"/>
  <cols>
    <col min="1" max="1" width="4" bestFit="1" customWidth="1"/>
    <col min="2" max="2" width="43.42578125" customWidth="1"/>
    <col min="3" max="3" width="13.140625" customWidth="1"/>
    <col min="4" max="4" width="11.7109375" customWidth="1"/>
    <col min="5" max="5" width="9.140625" style="59"/>
    <col min="6" max="6" width="15.5703125" customWidth="1"/>
  </cols>
  <sheetData>
    <row r="1" spans="1:6" ht="51" customHeight="1">
      <c r="A1" t="str" cm="1">
        <f t="array" ref="A1:D23">'тендер-прайс'!A1:D23</f>
        <v>№ </v>
      </c>
      <c r="B1" t="str">
        <v>Назва та параметри Послуги </v>
      </c>
      <c r="C1" s="50" t="str">
        <v>Одиниця тарифікації </v>
      </c>
      <c r="D1" s="50" t="str">
        <v>Ціна за одиницю, грн без ПДВ за місяць </v>
      </c>
      <c r="E1" s="50" t="s">
        <v>89</v>
      </c>
      <c r="F1" s="50" t="s">
        <v>90</v>
      </c>
    </row>
    <row r="2" spans="1:6">
      <c r="A2" t="str">
        <v>з/п </v>
      </c>
      <c r="B2">
        <v>0</v>
      </c>
      <c r="C2">
        <v>0</v>
      </c>
      <c r="D2">
        <v>0</v>
      </c>
    </row>
    <row r="3" spans="1:6">
      <c r="A3" t="str">
        <v>1 </v>
      </c>
      <c r="B3" t="str">
        <v>Обчислювальна потужність процесора (vCPU) SAP </v>
      </c>
      <c r="C3" s="59" t="str">
        <v>1 GHz </v>
      </c>
      <c r="D3" s="60">
        <v>123.53</v>
      </c>
      <c r="E3" s="61"/>
      <c r="F3" s="60">
        <f>D3*E3</f>
        <v>0</v>
      </c>
    </row>
    <row r="4" spans="1:6">
      <c r="A4" t="str">
        <v>2 </v>
      </c>
      <c r="B4" t="str">
        <v>Обчислювальна потужність процесора (vCPU) </v>
      </c>
      <c r="C4" s="59" t="str">
        <v>1 GHz </v>
      </c>
      <c r="D4" s="60">
        <v>114.38</v>
      </c>
      <c r="E4" s="61">
        <f>ROUNDUP('Prod 8000'!K23,0)</f>
        <v>224</v>
      </c>
      <c r="F4" s="60">
        <f>D4*E4</f>
        <v>25621.119999999999</v>
      </c>
    </row>
    <row r="5" spans="1:6">
      <c r="A5" t="str">
        <v>3 </v>
      </c>
      <c r="B5" t="str">
        <v>Оперативна пам’ять (vRAM) SAP </v>
      </c>
      <c r="C5" s="59" t="str">
        <v>1 GB </v>
      </c>
      <c r="D5" s="60">
        <v>123.53</v>
      </c>
      <c r="E5" s="61"/>
      <c r="F5" s="60">
        <f>D5*E5</f>
        <v>0</v>
      </c>
    </row>
    <row r="6" spans="1:6">
      <c r="A6" t="str">
        <v>4 </v>
      </c>
      <c r="B6" t="str">
        <v>Оперативна пам’ять (vRAM) </v>
      </c>
      <c r="C6" s="59" t="str">
        <v>1 GB </v>
      </c>
      <c r="D6" s="60">
        <v>118.95</v>
      </c>
      <c r="E6" s="62">
        <f>ROUNDUP('Prod 8000'!K24,0)</f>
        <v>308</v>
      </c>
      <c r="F6" s="60">
        <f>D6*E6</f>
        <v>36636.6</v>
      </c>
    </row>
    <row r="7" spans="1:6">
      <c r="A7" t="str">
        <v>5 </v>
      </c>
      <c r="B7" t="str">
        <v>Накопичувачі та система зберігання (vHDD) 80000 IOPS SAP </v>
      </c>
      <c r="C7" s="59" t="str">
        <v>1 GB </v>
      </c>
      <c r="D7" s="60">
        <v>3.96</v>
      </c>
      <c r="E7" s="61"/>
      <c r="F7" s="60">
        <f>D7*E7</f>
        <v>0</v>
      </c>
    </row>
    <row r="8" spans="1:6">
      <c r="A8" t="str">
        <v>6 </v>
      </c>
      <c r="B8" t="str">
        <v>Накопичувачі та система зберігання (vHDD) 80000 IOPS </v>
      </c>
      <c r="C8" s="59" t="str">
        <v>1 GB </v>
      </c>
      <c r="D8" s="60">
        <v>3.84</v>
      </c>
      <c r="E8" s="61">
        <f>ROUNDUP('Prod 8000'!K25,0)</f>
        <v>2050</v>
      </c>
      <c r="F8" s="60">
        <f>D8*E8</f>
        <v>7872</v>
      </c>
    </row>
    <row r="9" spans="1:6">
      <c r="A9" t="str">
        <v>7 </v>
      </c>
      <c r="B9" t="str">
        <v>Накопичувачі та система зберігання (vHDD) 5000 IOPS SAP </v>
      </c>
      <c r="C9" s="59" t="str">
        <v>1 GB </v>
      </c>
      <c r="D9" s="60">
        <v>0.9</v>
      </c>
      <c r="E9" s="61"/>
      <c r="F9" s="60">
        <f>D9*E9</f>
        <v>0</v>
      </c>
    </row>
    <row r="10" spans="1:6">
      <c r="A10" t="str">
        <v>8 </v>
      </c>
      <c r="B10" t="str">
        <v>Накопичувані та система зберігання (vHDD) 5000 IOPS </v>
      </c>
      <c r="C10" s="59" t="str">
        <v>1 GB </v>
      </c>
      <c r="D10" s="60">
        <v>0.9</v>
      </c>
      <c r="E10" s="61">
        <f>ROUNDUP('Prod 8000'!K26,0)</f>
        <v>500</v>
      </c>
      <c r="F10" s="60">
        <f>D10*E10</f>
        <v>450</v>
      </c>
    </row>
    <row r="11" spans="1:6">
      <c r="A11" t="str">
        <v>9 </v>
      </c>
      <c r="B11" t="str">
        <v>Віртуальна мережа (VLAN) </v>
      </c>
      <c r="C11" s="59" t="str">
        <v>1 екземпляр </v>
      </c>
      <c r="D11" s="60">
        <v>137.25</v>
      </c>
      <c r="E11" s="61">
        <v>3</v>
      </c>
      <c r="F11" s="60">
        <f>D11*E11</f>
        <v>411.75</v>
      </c>
    </row>
    <row r="12" spans="1:6">
      <c r="A12" t="str">
        <v>10 </v>
      </c>
      <c r="B12" t="str">
        <v>Послуга реплікації з використанням VMware Cloud Director Availability </v>
      </c>
      <c r="C12" s="59" t="str">
        <v>1 VM </v>
      </c>
      <c r="D12" s="60">
        <v>1.2</v>
      </c>
      <c r="E12" s="61"/>
      <c r="F12" s="60">
        <f>D12*E12</f>
        <v>0</v>
      </c>
    </row>
    <row r="13" spans="1:6">
      <c r="A13" t="str">
        <v>11 </v>
      </c>
      <c r="B13" t="str">
        <v>Безагентне (на рівні гіпервізору, без необхідності встановлення агентів в гостьові операційні системи) щоденне резервне копіювання даних з глибиною зберігання 31 день** </v>
      </c>
      <c r="C13" s="59" t="str">
        <v>1 GB </v>
      </c>
      <c r="D13" s="60">
        <v>2.75</v>
      </c>
      <c r="E13" s="61">
        <f>(E8+E10)</f>
        <v>2550</v>
      </c>
      <c r="F13" s="60">
        <f>D13*E13</f>
        <v>7012.5</v>
      </c>
    </row>
    <row r="14" spans="1:6">
      <c r="A14" t="str">
        <v>12 </v>
      </c>
      <c r="B14" t="str">
        <v>Послуга гео бекапування з використанням
Veeam (м.Київ/м.Львів/AWS)*** </v>
      </c>
      <c r="C14" s="59" t="str">
        <v>1 GB </v>
      </c>
      <c r="D14" s="60">
        <v>5.3</v>
      </c>
      <c r="E14" s="61"/>
      <c r="F14" s="60">
        <f>D14*E14</f>
        <v>0</v>
      </c>
    </row>
    <row r="15" spans="1:6">
      <c r="A15" t="str">
        <v>13 </v>
      </c>
      <c r="B15" t="str">
        <v>Віртуальний маршрутизатор з функцією мережевого екрану та VPN </v>
      </c>
      <c r="C15" s="59" t="str">
        <v>1 екземпляр </v>
      </c>
      <c r="D15" s="60">
        <v>457.5</v>
      </c>
      <c r="E15" s="61">
        <v>1</v>
      </c>
      <c r="F15" s="60">
        <f>D15*E15</f>
        <v>457.5</v>
      </c>
    </row>
    <row r="16" spans="1:6">
      <c r="A16" t="str">
        <v>14 </v>
      </c>
      <c r="B16" t="str">
        <v>Підключення до мережі Інтернет 1 Gb/s, зовнішній IP адрес </v>
      </c>
      <c r="C16" s="59" t="str">
        <v>підключення </v>
      </c>
      <c r="D16" s="60">
        <v>3660</v>
      </c>
      <c r="E16" s="61">
        <v>2</v>
      </c>
      <c r="F16" s="60">
        <f>D16*E16</f>
        <v>7320</v>
      </c>
    </row>
    <row r="17" spans="1:6">
      <c r="A17" t="str">
        <v>15 </v>
      </c>
      <c r="B17" t="str">
        <v>Підключення до мережі Інтернет 10 Gb/s з BGP-peering </v>
      </c>
      <c r="C17" s="59" t="str">
        <v>підключення </v>
      </c>
      <c r="D17" s="60">
        <v>40000</v>
      </c>
      <c r="E17" s="61"/>
      <c r="F17" s="60">
        <f>D17*E17</f>
        <v>0</v>
      </c>
    </row>
    <row r="18" spans="1:6">
      <c r="A18" t="str">
        <v>16 </v>
      </c>
      <c r="B18" t="str">
        <v>Виділений канал пропускною здатністю 10G між ЦОД Виконавця та ЦОД Замовника, що знаходиться за адресою </v>
      </c>
      <c r="C18" s="59" t="str">
        <v>1 канал  </v>
      </c>
      <c r="D18" s="60">
        <v>15000</v>
      </c>
      <c r="E18" s="61"/>
      <c r="F18" s="60">
        <f>D18*E18</f>
        <v>0</v>
      </c>
    </row>
    <row r="19" spans="1:6">
      <c r="A19" t="str">
        <v>17 </v>
      </c>
      <c r="B19" t="str">
        <v>Термінація виділеного каналу 1Gb/s (мідний порт) та презентація його у хмарний ландшафт Замовника </v>
      </c>
      <c r="C19" s="59" t="str">
        <v>порт </v>
      </c>
      <c r="D19" s="60">
        <v>100</v>
      </c>
      <c r="E19" s="61"/>
      <c r="F19" s="60">
        <f>D19*E19</f>
        <v>0</v>
      </c>
    </row>
    <row r="20" spans="1:6">
      <c r="A20" t="str">
        <v>18 </v>
      </c>
      <c r="B20" t="str">
        <v>Термінація виділеного каналу 10Gb/s (оптичний порт) та презентація його у хмарний ландшафт Замовника </v>
      </c>
      <c r="C20" s="59" t="str">
        <v>порт </v>
      </c>
      <c r="D20" s="60">
        <v>1500</v>
      </c>
      <c r="E20" s="61"/>
      <c r="F20" s="60">
        <f>D20*E20</f>
        <v>0</v>
      </c>
    </row>
    <row r="21" spans="1:6">
      <c r="A21" t="str">
        <v>19 </v>
      </c>
      <c r="B21" t="str">
        <v>Система моніторингу VMware Aria Operation </v>
      </c>
      <c r="C21" s="59" t="str">
        <v>1 vCPU </v>
      </c>
      <c r="D21" s="60">
        <v>32.03</v>
      </c>
      <c r="E21" s="61">
        <f>E4</f>
        <v>224</v>
      </c>
      <c r="F21" s="60">
        <f>D21*E21</f>
        <v>7174.72</v>
      </c>
    </row>
    <row r="22" spans="1:6">
      <c r="A22" t="str">
        <v>20 </v>
      </c>
      <c r="B22">
        <v>0</v>
      </c>
      <c r="C22" s="59" t="str">
        <v>1 GB vRAM </v>
      </c>
      <c r="D22" s="60">
        <v>16.29</v>
      </c>
      <c r="E22" s="61">
        <f>E4</f>
        <v>224</v>
      </c>
      <c r="F22" s="60">
        <f>D22*E22</f>
        <v>3648.96</v>
      </c>
    </row>
    <row r="23" spans="1:6">
      <c r="A23" t="str">
        <v>21 </v>
      </c>
      <c r="B23" t="str">
        <v>Віртуальна графічна пам'ять GPU на базі nVIDIA L40S з ліцензією AI Enterprise Essentials </v>
      </c>
      <c r="C23" s="59" t="str">
        <v>48 GB </v>
      </c>
      <c r="D23" s="60">
        <v>38000</v>
      </c>
      <c r="E23" s="61"/>
      <c r="F23" s="60">
        <f>D23*E23</f>
        <v>0</v>
      </c>
    </row>
    <row r="24" spans="1:6">
      <c r="F24" s="63">
        <f>SUM(F3:F23)</f>
        <v>96605.150000000009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358F-D670-4285-BE2F-4FAADBAD3229}">
  <dimension ref="A1:Q66"/>
  <sheetViews>
    <sheetView topLeftCell="A18" workbookViewId="0">
      <selection activeCell="C11" sqref="C11"/>
    </sheetView>
  </sheetViews>
  <sheetFormatPr defaultRowHeight="12.75"/>
  <cols>
    <col min="1" max="1" width="8.85546875" bestFit="1" customWidth="1"/>
    <col min="2" max="2" width="21.42578125" customWidth="1"/>
    <col min="3" max="3" width="38.85546875" customWidth="1"/>
    <col min="4" max="4" width="17.28515625" customWidth="1"/>
    <col min="7" max="7" width="22.140625" customWidth="1"/>
    <col min="8" max="8" width="23.7109375" customWidth="1"/>
    <col min="10" max="10" width="22.85546875" customWidth="1"/>
    <col min="12" max="12" width="16" customWidth="1"/>
    <col min="13" max="13" width="22.7109375" customWidth="1"/>
    <col min="14" max="14" width="29.85546875" customWidth="1"/>
    <col min="15" max="15" width="24.85546875" customWidth="1"/>
  </cols>
  <sheetData>
    <row r="1" spans="2:17">
      <c r="B1" s="1"/>
      <c r="C1" s="10" t="s">
        <v>0</v>
      </c>
      <c r="D1" s="1"/>
      <c r="E1" s="1"/>
      <c r="F1" s="1"/>
      <c r="G1" s="1"/>
      <c r="H1" s="1"/>
      <c r="I1" s="1"/>
      <c r="J1" s="1"/>
      <c r="K1" s="1"/>
    </row>
    <row r="2" spans="2:17">
      <c r="B2" s="16" t="s">
        <v>1</v>
      </c>
      <c r="C2" s="35" t="s">
        <v>2</v>
      </c>
      <c r="D2" s="1" t="s">
        <v>91</v>
      </c>
      <c r="E2" s="1"/>
      <c r="F2" s="1"/>
      <c r="G2" s="1"/>
      <c r="H2" s="1"/>
      <c r="I2" s="1"/>
      <c r="J2" s="1"/>
      <c r="K2" s="1"/>
    </row>
    <row r="3" spans="2:17">
      <c r="B3" s="16"/>
      <c r="C3" s="16"/>
      <c r="D3" s="1"/>
      <c r="E3" s="1"/>
      <c r="F3" s="1"/>
      <c r="G3" s="1"/>
      <c r="H3" s="1"/>
      <c r="I3" s="1"/>
      <c r="J3" s="1"/>
      <c r="K3" s="1"/>
    </row>
    <row r="4" spans="2:17">
      <c r="B4" s="88" t="s">
        <v>4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</row>
    <row r="5" spans="2:17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3"/>
    </row>
    <row r="6" spans="2:17">
      <c r="B6" s="11"/>
      <c r="C6" s="12"/>
      <c r="D6" s="12"/>
      <c r="E6" s="12"/>
      <c r="F6" s="12"/>
      <c r="G6" s="12"/>
      <c r="H6" s="12"/>
      <c r="I6" s="12"/>
      <c r="J6" s="12"/>
      <c r="K6" s="12"/>
      <c r="L6" s="20"/>
      <c r="M6" s="20"/>
      <c r="N6" s="20"/>
      <c r="O6" s="20"/>
      <c r="P6" s="20"/>
      <c r="Q6" s="21"/>
    </row>
    <row r="7" spans="2:17">
      <c r="B7" s="17" t="s">
        <v>5</v>
      </c>
      <c r="C7" s="1"/>
      <c r="D7" s="1"/>
      <c r="E7" s="1"/>
      <c r="F7" s="1"/>
      <c r="G7" s="1"/>
      <c r="H7" s="1"/>
      <c r="I7" s="1"/>
      <c r="J7" s="1"/>
      <c r="K7" s="1"/>
      <c r="Q7" s="13"/>
    </row>
    <row r="8" spans="2:17">
      <c r="B8" s="104" t="s">
        <v>6</v>
      </c>
      <c r="C8" s="104" t="s">
        <v>7</v>
      </c>
      <c r="D8" s="98" t="s">
        <v>8</v>
      </c>
      <c r="E8" s="106" t="s">
        <v>9</v>
      </c>
      <c r="F8" s="107"/>
      <c r="G8" s="102" t="s">
        <v>10</v>
      </c>
      <c r="H8" s="102" t="s">
        <v>11</v>
      </c>
      <c r="I8" s="1"/>
      <c r="J8" s="1"/>
      <c r="K8" s="1"/>
      <c r="Q8" s="13"/>
    </row>
    <row r="9" spans="2:17">
      <c r="B9" s="105"/>
      <c r="C9" s="105"/>
      <c r="D9" s="109"/>
      <c r="E9" s="7" t="s">
        <v>12</v>
      </c>
      <c r="F9" s="22" t="s">
        <v>13</v>
      </c>
      <c r="G9" s="108"/>
      <c r="H9" s="103"/>
      <c r="I9" s="1"/>
      <c r="J9" s="1"/>
      <c r="K9" s="1"/>
      <c r="Q9" s="13"/>
    </row>
    <row r="10" spans="2:17">
      <c r="B10" s="26" t="s">
        <v>14</v>
      </c>
      <c r="C10" s="30">
        <v>2</v>
      </c>
      <c r="D10" s="30">
        <v>4</v>
      </c>
      <c r="E10" s="30" t="s">
        <v>15</v>
      </c>
      <c r="F10" s="30">
        <v>100</v>
      </c>
      <c r="G10" s="32">
        <v>1</v>
      </c>
      <c r="H10" s="18" t="s">
        <v>16</v>
      </c>
      <c r="I10" s="10"/>
      <c r="J10" s="1"/>
      <c r="K10" s="1"/>
      <c r="Q10" s="13"/>
    </row>
    <row r="11" spans="2:17">
      <c r="B11" s="23" t="s">
        <v>17</v>
      </c>
      <c r="C11" s="31">
        <v>22</v>
      </c>
      <c r="D11" s="31">
        <v>70</v>
      </c>
      <c r="E11" s="34" t="s">
        <v>15</v>
      </c>
      <c r="F11" s="34">
        <v>150</v>
      </c>
      <c r="G11" s="33">
        <v>3</v>
      </c>
      <c r="H11" s="19" t="s">
        <v>16</v>
      </c>
      <c r="I11" s="10"/>
      <c r="J11" s="1"/>
      <c r="K11" s="1"/>
      <c r="Q11" s="13"/>
    </row>
    <row r="12" spans="2:17">
      <c r="B12" s="27"/>
      <c r="C12" s="1"/>
      <c r="D12" s="1"/>
      <c r="E12" s="25"/>
      <c r="G12" s="1"/>
      <c r="H12" s="47"/>
      <c r="I12" s="1"/>
      <c r="J12" s="1"/>
      <c r="K12" s="1"/>
      <c r="Q12" s="13"/>
    </row>
    <row r="13" spans="2:17">
      <c r="B13" s="14"/>
      <c r="Q13" s="13"/>
    </row>
    <row r="14" spans="2:17">
      <c r="B14" s="28" t="s">
        <v>18</v>
      </c>
      <c r="C14" s="29"/>
      <c r="D14" s="29"/>
      <c r="E14" s="29"/>
      <c r="F14" s="29"/>
      <c r="G14" s="29"/>
      <c r="H14" s="29"/>
      <c r="I14" s="29"/>
      <c r="J14" s="29"/>
      <c r="K14" s="29"/>
      <c r="L14" s="15"/>
      <c r="Q14" s="13"/>
    </row>
    <row r="15" spans="2:17" ht="12.75" customHeight="1">
      <c r="B15" s="94" t="s">
        <v>6</v>
      </c>
      <c r="C15" s="96" t="s">
        <v>7</v>
      </c>
      <c r="D15" s="98" t="s">
        <v>8</v>
      </c>
      <c r="E15" s="101" t="s">
        <v>9</v>
      </c>
      <c r="F15" s="101"/>
      <c r="G15" s="114" t="s">
        <v>10</v>
      </c>
      <c r="H15" s="85" t="s">
        <v>9</v>
      </c>
      <c r="I15" s="85"/>
      <c r="J15" s="85"/>
      <c r="K15" s="85"/>
      <c r="L15" s="85"/>
      <c r="M15" s="85"/>
      <c r="N15" s="110" t="s">
        <v>19</v>
      </c>
      <c r="O15" s="102" t="s">
        <v>20</v>
      </c>
      <c r="Q15" s="13"/>
    </row>
    <row r="16" spans="2:17" ht="15">
      <c r="B16" s="95"/>
      <c r="C16" s="97"/>
      <c r="D16" s="99"/>
      <c r="E16" s="101" t="s">
        <v>21</v>
      </c>
      <c r="F16" s="101"/>
      <c r="G16" s="114"/>
      <c r="H16" s="71" t="s">
        <v>22</v>
      </c>
      <c r="I16" s="46"/>
      <c r="J16" s="49" t="s">
        <v>23</v>
      </c>
      <c r="K16" s="49"/>
      <c r="L16" s="116" t="s">
        <v>92</v>
      </c>
      <c r="M16" s="86" t="s">
        <v>25</v>
      </c>
      <c r="N16" s="111"/>
      <c r="O16" s="100"/>
      <c r="Q16" s="13"/>
    </row>
    <row r="17" spans="2:17" ht="18" customHeight="1">
      <c r="B17" s="95"/>
      <c r="C17" s="97"/>
      <c r="D17" s="100"/>
      <c r="E17" s="72" t="s">
        <v>12</v>
      </c>
      <c r="F17" s="44" t="s">
        <v>13</v>
      </c>
      <c r="G17" s="115"/>
      <c r="H17" s="43" t="s">
        <v>12</v>
      </c>
      <c r="I17" s="24" t="s">
        <v>26</v>
      </c>
      <c r="J17" s="24" t="s">
        <v>12</v>
      </c>
      <c r="K17" s="24" t="s">
        <v>26</v>
      </c>
      <c r="L17" s="117"/>
      <c r="M17" s="118"/>
      <c r="N17" s="119"/>
      <c r="O17" s="100"/>
      <c r="Q17" s="13"/>
    </row>
    <row r="18" spans="2:17">
      <c r="B18" s="73" t="s">
        <v>27</v>
      </c>
      <c r="C18" s="74">
        <v>16</v>
      </c>
      <c r="D18" s="75">
        <v>168</v>
      </c>
      <c r="E18" s="75" t="s">
        <v>15</v>
      </c>
      <c r="F18" s="76">
        <v>150</v>
      </c>
      <c r="G18" s="77">
        <v>3</v>
      </c>
      <c r="H18" s="78" t="s">
        <v>15</v>
      </c>
      <c r="I18" s="79">
        <v>200</v>
      </c>
      <c r="J18" s="80" t="s">
        <v>28</v>
      </c>
      <c r="K18" s="81">
        <v>300</v>
      </c>
      <c r="L18" s="82">
        <v>10000</v>
      </c>
      <c r="M18" s="83">
        <v>1</v>
      </c>
      <c r="N18" s="83">
        <v>800</v>
      </c>
      <c r="O18" s="84" t="s">
        <v>16</v>
      </c>
      <c r="Q18" s="48"/>
    </row>
    <row r="19" spans="2:17">
      <c r="B19" s="10"/>
      <c r="C19" s="1"/>
      <c r="D19" s="1"/>
      <c r="E19" s="25"/>
      <c r="K19" s="1"/>
      <c r="M19" s="1"/>
    </row>
    <row r="20" spans="2:17" ht="15">
      <c r="B20" t="s">
        <v>30</v>
      </c>
      <c r="C20" s="1"/>
      <c r="D20" s="1"/>
      <c r="E20" s="2"/>
      <c r="F20" s="3"/>
      <c r="G20" s="1"/>
      <c r="H20" s="1"/>
      <c r="I20" s="1"/>
      <c r="J20" s="1"/>
      <c r="K20" s="1"/>
    </row>
    <row r="21" spans="2:17">
      <c r="B21" t="s">
        <v>31</v>
      </c>
    </row>
    <row r="22" spans="2:17">
      <c r="M22" s="6" t="s">
        <v>32</v>
      </c>
      <c r="N22" s="6" t="s">
        <v>33</v>
      </c>
    </row>
    <row r="23" spans="2:17">
      <c r="B23" t="s">
        <v>34</v>
      </c>
      <c r="J23" s="6" t="s">
        <v>35</v>
      </c>
      <c r="K23">
        <f>(C10*G10+C11*G11+C18*G18)*3.2</f>
        <v>371.20000000000005</v>
      </c>
      <c r="M23" s="64">
        <v>2334</v>
      </c>
      <c r="N23" s="64">
        <v>1800</v>
      </c>
    </row>
    <row r="24" spans="2:17">
      <c r="B24" t="s">
        <v>36</v>
      </c>
      <c r="J24" s="6" t="s">
        <v>37</v>
      </c>
      <c r="K24">
        <f>D10*G10+D11*G11+D18*G18</f>
        <v>718</v>
      </c>
      <c r="M24" s="65">
        <f>M23*44.14</f>
        <v>103022.76</v>
      </c>
      <c r="N24" s="65">
        <f>N23*44.14</f>
        <v>79452</v>
      </c>
      <c r="O24" s="9"/>
    </row>
    <row r="25" spans="2:17" ht="15">
      <c r="J25" s="6" t="s">
        <v>38</v>
      </c>
      <c r="K25">
        <f>G11*F11+(150+200+300)*G18</f>
        <v>2400</v>
      </c>
      <c r="M25" s="8"/>
    </row>
    <row r="26" spans="2:17">
      <c r="B26" t="s">
        <v>39</v>
      </c>
      <c r="J26" s="6" t="s">
        <v>40</v>
      </c>
      <c r="K26">
        <f>G10*F10</f>
        <v>100</v>
      </c>
    </row>
    <row r="27" spans="2:17">
      <c r="B27" t="s">
        <v>41</v>
      </c>
      <c r="L27" s="1"/>
    </row>
    <row r="28" spans="2:17">
      <c r="B28" t="s">
        <v>42</v>
      </c>
      <c r="L28" s="1"/>
    </row>
    <row r="29" spans="2:17">
      <c r="B29" t="s">
        <v>43</v>
      </c>
    </row>
    <row r="34" spans="1:16">
      <c r="P34" s="6"/>
    </row>
    <row r="35" spans="1:16" ht="15">
      <c r="A35" s="69">
        <v>3</v>
      </c>
      <c r="B35" s="70" t="s">
        <v>44</v>
      </c>
      <c r="C35" s="66" t="s">
        <v>45</v>
      </c>
      <c r="D35" s="66" t="s">
        <v>46</v>
      </c>
      <c r="E35" s="66" t="s">
        <v>47</v>
      </c>
      <c r="F35" s="66" t="s">
        <v>48</v>
      </c>
      <c r="G35" s="66" t="s">
        <v>49</v>
      </c>
      <c r="H35" s="66" t="s">
        <v>50</v>
      </c>
      <c r="I35" s="66" t="s">
        <v>51</v>
      </c>
      <c r="J35" s="67"/>
    </row>
    <row r="36" spans="1:16" ht="15">
      <c r="A36" s="67">
        <v>1</v>
      </c>
      <c r="B36" s="70">
        <f>A36*$A$35</f>
        <v>3</v>
      </c>
      <c r="C36" s="68" t="s">
        <v>52</v>
      </c>
      <c r="D36" s="68" t="s">
        <v>53</v>
      </c>
      <c r="E36" s="68" t="s">
        <v>54</v>
      </c>
      <c r="F36" s="68">
        <v>3</v>
      </c>
      <c r="G36" s="68">
        <v>14</v>
      </c>
      <c r="H36" s="67">
        <f>F36*B36</f>
        <v>9</v>
      </c>
      <c r="I36" s="67">
        <f>G36*B36</f>
        <v>42</v>
      </c>
      <c r="J36" s="67"/>
    </row>
    <row r="37" spans="1:16" ht="15">
      <c r="A37" s="67">
        <v>1</v>
      </c>
      <c r="B37" s="70">
        <f t="shared" ref="B37:B55" si="0">A37*$A$35</f>
        <v>3</v>
      </c>
      <c r="C37" s="68" t="s">
        <v>55</v>
      </c>
      <c r="D37" s="68" t="s">
        <v>53</v>
      </c>
      <c r="E37" s="68" t="s">
        <v>54</v>
      </c>
      <c r="F37" s="68">
        <v>1</v>
      </c>
      <c r="G37" s="68">
        <v>8</v>
      </c>
      <c r="H37" s="67">
        <f t="shared" ref="H37:H55" si="1">F37*B37</f>
        <v>3</v>
      </c>
      <c r="I37" s="67">
        <f t="shared" ref="I37:I55" si="2">G37*B37</f>
        <v>24</v>
      </c>
      <c r="J37" s="67"/>
    </row>
    <row r="38" spans="1:16" ht="15">
      <c r="A38" s="67">
        <v>1</v>
      </c>
      <c r="B38" s="70">
        <f t="shared" si="0"/>
        <v>3</v>
      </c>
      <c r="C38" s="68" t="s">
        <v>56</v>
      </c>
      <c r="D38" s="68" t="s">
        <v>57</v>
      </c>
      <c r="E38" s="68" t="s">
        <v>58</v>
      </c>
      <c r="F38" s="68">
        <v>0.2</v>
      </c>
      <c r="G38" s="68">
        <v>0.5</v>
      </c>
      <c r="H38" s="67">
        <f t="shared" si="1"/>
        <v>0.60000000000000009</v>
      </c>
      <c r="I38" s="67">
        <f t="shared" si="2"/>
        <v>1.5</v>
      </c>
      <c r="J38" s="67"/>
    </row>
    <row r="39" spans="1:16" ht="15">
      <c r="A39" s="67">
        <v>1</v>
      </c>
      <c r="B39" s="70">
        <f t="shared" si="0"/>
        <v>3</v>
      </c>
      <c r="C39" s="68" t="s">
        <v>59</v>
      </c>
      <c r="D39" s="68" t="s">
        <v>60</v>
      </c>
      <c r="E39" s="68" t="s">
        <v>61</v>
      </c>
      <c r="F39" s="68">
        <v>0.3</v>
      </c>
      <c r="G39" s="68">
        <v>0.61399999999999999</v>
      </c>
      <c r="H39" s="67">
        <f t="shared" si="1"/>
        <v>0.89999999999999991</v>
      </c>
      <c r="I39" s="67">
        <f t="shared" si="2"/>
        <v>1.8420000000000001</v>
      </c>
      <c r="J39" s="67"/>
    </row>
    <row r="40" spans="1:16" ht="15">
      <c r="A40" s="67">
        <v>1</v>
      </c>
      <c r="B40" s="70">
        <f t="shared" si="0"/>
        <v>3</v>
      </c>
      <c r="C40" s="68" t="s">
        <v>62</v>
      </c>
      <c r="D40" s="68" t="s">
        <v>63</v>
      </c>
      <c r="E40" s="68" t="s">
        <v>64</v>
      </c>
      <c r="F40" s="68">
        <v>0.1</v>
      </c>
      <c r="G40" s="68">
        <v>1</v>
      </c>
      <c r="H40" s="67">
        <f t="shared" si="1"/>
        <v>0.30000000000000004</v>
      </c>
      <c r="I40" s="67">
        <f t="shared" si="2"/>
        <v>3</v>
      </c>
      <c r="J40" s="67"/>
    </row>
    <row r="41" spans="1:16" ht="15">
      <c r="A41" s="67">
        <v>2</v>
      </c>
      <c r="B41" s="70">
        <f>A41</f>
        <v>2</v>
      </c>
      <c r="C41" s="68" t="s">
        <v>65</v>
      </c>
      <c r="D41" s="68" t="s">
        <v>66</v>
      </c>
      <c r="E41" s="68" t="s">
        <v>67</v>
      </c>
      <c r="F41" s="68">
        <v>2</v>
      </c>
      <c r="G41" s="68">
        <v>12</v>
      </c>
      <c r="H41" s="67">
        <f t="shared" si="1"/>
        <v>4</v>
      </c>
      <c r="I41" s="67">
        <f t="shared" si="2"/>
        <v>24</v>
      </c>
      <c r="J41" s="67"/>
      <c r="P41" s="6"/>
    </row>
    <row r="42" spans="1:16" ht="15">
      <c r="A42" s="67">
        <v>2</v>
      </c>
      <c r="B42" s="70">
        <f>A42</f>
        <v>2</v>
      </c>
      <c r="C42" s="68" t="s">
        <v>68</v>
      </c>
      <c r="D42" s="68" t="s">
        <v>53</v>
      </c>
      <c r="E42" s="68" t="s">
        <v>67</v>
      </c>
      <c r="F42" s="68">
        <v>1</v>
      </c>
      <c r="G42" s="68">
        <v>8</v>
      </c>
      <c r="H42" s="67">
        <f t="shared" si="1"/>
        <v>2</v>
      </c>
      <c r="I42" s="67">
        <f t="shared" si="2"/>
        <v>16</v>
      </c>
      <c r="J42" s="67"/>
    </row>
    <row r="43" spans="1:16" ht="15">
      <c r="A43" s="67">
        <v>1</v>
      </c>
      <c r="B43" s="70">
        <f>A43</f>
        <v>1</v>
      </c>
      <c r="C43" s="68" t="s">
        <v>69</v>
      </c>
      <c r="D43" s="68" t="s">
        <v>70</v>
      </c>
      <c r="E43" s="68" t="s">
        <v>71</v>
      </c>
      <c r="F43" s="68">
        <v>0.1</v>
      </c>
      <c r="G43" s="68">
        <v>0.5</v>
      </c>
      <c r="H43" s="67">
        <f t="shared" si="1"/>
        <v>0.1</v>
      </c>
      <c r="I43" s="67">
        <f t="shared" si="2"/>
        <v>0.5</v>
      </c>
      <c r="J43" s="67"/>
      <c r="O43" s="6"/>
    </row>
    <row r="44" spans="1:16" ht="15">
      <c r="A44" s="67">
        <v>1</v>
      </c>
      <c r="B44" s="70">
        <f t="shared" si="0"/>
        <v>3</v>
      </c>
      <c r="C44" s="68" t="s">
        <v>72</v>
      </c>
      <c r="D44" s="68" t="s">
        <v>66</v>
      </c>
      <c r="E44" s="68" t="s">
        <v>73</v>
      </c>
      <c r="F44" s="68">
        <v>0.3</v>
      </c>
      <c r="G44" s="68">
        <v>0.6</v>
      </c>
      <c r="H44" s="67">
        <f t="shared" si="1"/>
        <v>0.89999999999999991</v>
      </c>
      <c r="I44" s="67">
        <f t="shared" si="2"/>
        <v>1.7999999999999998</v>
      </c>
      <c r="J44" s="67"/>
    </row>
    <row r="45" spans="1:16" ht="15">
      <c r="A45" s="67">
        <v>1</v>
      </c>
      <c r="B45" s="70">
        <f t="shared" si="0"/>
        <v>3</v>
      </c>
      <c r="C45" s="68" t="s">
        <v>74</v>
      </c>
      <c r="D45" s="68" t="s">
        <v>60</v>
      </c>
      <c r="E45" s="68" t="s">
        <v>75</v>
      </c>
      <c r="F45" s="68">
        <v>0.4</v>
      </c>
      <c r="G45" s="68">
        <v>0.6</v>
      </c>
      <c r="H45" s="67">
        <f t="shared" si="1"/>
        <v>1.2000000000000002</v>
      </c>
      <c r="I45" s="67">
        <f t="shared" si="2"/>
        <v>1.7999999999999998</v>
      </c>
      <c r="J45" s="67"/>
      <c r="O45" s="6"/>
    </row>
    <row r="46" spans="1:16" ht="15">
      <c r="A46" s="67">
        <v>3</v>
      </c>
      <c r="B46" s="70">
        <f t="shared" si="0"/>
        <v>9</v>
      </c>
      <c r="C46" s="68" t="s">
        <v>76</v>
      </c>
      <c r="D46" s="68" t="s">
        <v>60</v>
      </c>
      <c r="E46" s="68" t="s">
        <v>64</v>
      </c>
      <c r="F46" s="68">
        <v>1</v>
      </c>
      <c r="G46" s="68">
        <v>2</v>
      </c>
      <c r="H46" s="67">
        <f t="shared" si="1"/>
        <v>9</v>
      </c>
      <c r="I46" s="67">
        <f t="shared" si="2"/>
        <v>18</v>
      </c>
      <c r="J46" s="67"/>
    </row>
    <row r="47" spans="1:16" ht="15">
      <c r="A47" s="67">
        <v>1</v>
      </c>
      <c r="B47" s="70">
        <f>A47</f>
        <v>1</v>
      </c>
      <c r="C47" s="68" t="s">
        <v>77</v>
      </c>
      <c r="D47" s="68" t="s">
        <v>66</v>
      </c>
      <c r="E47" s="68" t="s">
        <v>73</v>
      </c>
      <c r="F47" s="68">
        <v>4</v>
      </c>
      <c r="G47" s="68">
        <v>6</v>
      </c>
      <c r="H47" s="67">
        <f t="shared" si="1"/>
        <v>4</v>
      </c>
      <c r="I47" s="67">
        <f t="shared" si="2"/>
        <v>6</v>
      </c>
      <c r="J47" s="67"/>
    </row>
    <row r="48" spans="1:16" ht="15">
      <c r="A48" s="67">
        <v>2</v>
      </c>
      <c r="B48" s="70">
        <f t="shared" si="0"/>
        <v>6</v>
      </c>
      <c r="C48" s="68" t="s">
        <v>78</v>
      </c>
      <c r="D48" s="68" t="s">
        <v>79</v>
      </c>
      <c r="E48" s="68" t="s">
        <v>80</v>
      </c>
      <c r="F48" s="68">
        <v>0.5</v>
      </c>
      <c r="G48" s="68">
        <v>1</v>
      </c>
      <c r="H48" s="67">
        <f t="shared" si="1"/>
        <v>3</v>
      </c>
      <c r="I48" s="67">
        <f t="shared" si="2"/>
        <v>6</v>
      </c>
      <c r="J48" s="67"/>
    </row>
    <row r="49" spans="1:11" ht="15">
      <c r="A49" s="67">
        <v>1</v>
      </c>
      <c r="B49" s="70">
        <f t="shared" si="0"/>
        <v>3</v>
      </c>
      <c r="C49" s="68" t="s">
        <v>81</v>
      </c>
      <c r="D49" s="68" t="s">
        <v>60</v>
      </c>
      <c r="E49" s="68" t="s">
        <v>75</v>
      </c>
      <c r="F49" s="68">
        <v>0.3</v>
      </c>
      <c r="G49" s="68">
        <v>0.6</v>
      </c>
      <c r="H49" s="67">
        <f t="shared" si="1"/>
        <v>0.89999999999999991</v>
      </c>
      <c r="I49" s="67">
        <f t="shared" si="2"/>
        <v>1.7999999999999998</v>
      </c>
      <c r="J49" s="67"/>
    </row>
    <row r="50" spans="1:11" ht="15">
      <c r="A50" s="67">
        <v>1</v>
      </c>
      <c r="B50" s="70">
        <v>2</v>
      </c>
      <c r="C50" s="68" t="s">
        <v>82</v>
      </c>
      <c r="D50" s="68" t="s">
        <v>63</v>
      </c>
      <c r="E50" s="68" t="s">
        <v>83</v>
      </c>
      <c r="F50" s="68">
        <v>0.1</v>
      </c>
      <c r="G50" s="68">
        <v>1</v>
      </c>
      <c r="H50" s="67">
        <f t="shared" si="1"/>
        <v>0.2</v>
      </c>
      <c r="I50" s="67">
        <f t="shared" si="2"/>
        <v>2</v>
      </c>
      <c r="J50" s="67"/>
    </row>
    <row r="51" spans="1:11" ht="15">
      <c r="A51" s="67">
        <v>1</v>
      </c>
      <c r="B51" s="70">
        <v>2</v>
      </c>
      <c r="C51" s="68" t="s">
        <v>84</v>
      </c>
      <c r="D51" s="68" t="s">
        <v>63</v>
      </c>
      <c r="E51" s="68" t="s">
        <v>83</v>
      </c>
      <c r="F51" s="68">
        <v>1</v>
      </c>
      <c r="G51" s="68">
        <v>1</v>
      </c>
      <c r="H51" s="67">
        <f t="shared" si="1"/>
        <v>2</v>
      </c>
      <c r="I51" s="67">
        <f t="shared" si="2"/>
        <v>2</v>
      </c>
      <c r="J51" s="67"/>
    </row>
    <row r="52" spans="1:11" ht="15">
      <c r="A52" s="67">
        <v>2</v>
      </c>
      <c r="B52" s="70"/>
      <c r="C52" s="68" t="s">
        <v>85</v>
      </c>
      <c r="D52" s="68" t="s">
        <v>70</v>
      </c>
      <c r="E52" s="68" t="s">
        <v>58</v>
      </c>
      <c r="F52" s="68">
        <v>0.5</v>
      </c>
      <c r="G52" s="68">
        <v>1</v>
      </c>
      <c r="H52" s="67">
        <f>F52*B52</f>
        <v>0</v>
      </c>
      <c r="I52" s="67">
        <f t="shared" si="2"/>
        <v>0</v>
      </c>
      <c r="J52" s="67"/>
    </row>
    <row r="53" spans="1:11" ht="15">
      <c r="A53" s="67">
        <v>2</v>
      </c>
      <c r="B53" s="70">
        <f>A53</f>
        <v>2</v>
      </c>
      <c r="C53" s="68" t="s">
        <v>86</v>
      </c>
      <c r="D53" s="68" t="s">
        <v>66</v>
      </c>
      <c r="E53" s="68" t="s">
        <v>67</v>
      </c>
      <c r="F53" s="68">
        <v>4</v>
      </c>
      <c r="G53" s="68">
        <v>6</v>
      </c>
      <c r="H53" s="67">
        <f t="shared" si="1"/>
        <v>8</v>
      </c>
      <c r="I53" s="67">
        <f t="shared" si="2"/>
        <v>12</v>
      </c>
      <c r="J53" s="67"/>
    </row>
    <row r="54" spans="1:11" ht="15">
      <c r="A54" s="67">
        <v>1</v>
      </c>
      <c r="B54" s="70">
        <f t="shared" si="0"/>
        <v>3</v>
      </c>
      <c r="C54" s="68" t="s">
        <v>87</v>
      </c>
      <c r="D54" s="68" t="s">
        <v>53</v>
      </c>
      <c r="E54" s="68" t="s">
        <v>64</v>
      </c>
      <c r="F54" s="68">
        <v>1</v>
      </c>
      <c r="G54" s="68">
        <v>0.56999999999999995</v>
      </c>
      <c r="H54" s="67">
        <f t="shared" si="1"/>
        <v>3</v>
      </c>
      <c r="I54" s="67">
        <f t="shared" si="2"/>
        <v>1.71</v>
      </c>
      <c r="J54" s="67"/>
      <c r="K54" s="1"/>
    </row>
    <row r="55" spans="1:11" ht="15">
      <c r="A55" s="67">
        <v>2</v>
      </c>
      <c r="B55" s="70">
        <f t="shared" si="0"/>
        <v>6</v>
      </c>
      <c r="C55" s="68" t="s">
        <v>88</v>
      </c>
      <c r="D55" s="68" t="s">
        <v>53</v>
      </c>
      <c r="E55" s="68" t="s">
        <v>64</v>
      </c>
      <c r="F55" s="68">
        <v>1</v>
      </c>
      <c r="G55" s="68">
        <v>2</v>
      </c>
      <c r="H55" s="67">
        <f t="shared" si="1"/>
        <v>6</v>
      </c>
      <c r="I55" s="67">
        <f t="shared" si="2"/>
        <v>12</v>
      </c>
      <c r="J55" s="67"/>
      <c r="K55" s="38"/>
    </row>
    <row r="56" spans="1:11" ht="15">
      <c r="A56" s="67"/>
      <c r="B56" s="67"/>
      <c r="C56" s="67"/>
      <c r="D56" s="67"/>
      <c r="E56" s="67"/>
      <c r="F56" s="67"/>
      <c r="G56" s="67"/>
      <c r="H56" s="67">
        <f>SUM(H36:H55)</f>
        <v>58.1</v>
      </c>
      <c r="I56" s="67">
        <f>SUM(I36:I55)</f>
        <v>177.95200000000003</v>
      </c>
      <c r="J56" s="67"/>
      <c r="K56" s="38"/>
    </row>
    <row r="57" spans="1:11" ht="15">
      <c r="A57" s="67"/>
      <c r="B57" s="67"/>
      <c r="C57" s="67"/>
      <c r="D57" s="67"/>
      <c r="E57" s="67"/>
      <c r="F57" s="67"/>
    </row>
    <row r="58" spans="1:11" ht="15">
      <c r="A58" s="67"/>
      <c r="B58" s="67"/>
      <c r="C58" s="67"/>
      <c r="D58" s="67"/>
      <c r="E58" s="67"/>
      <c r="F58" s="67"/>
    </row>
    <row r="59" spans="1:11" ht="15">
      <c r="A59" s="67"/>
      <c r="B59" s="67"/>
      <c r="C59" s="67"/>
      <c r="D59" s="67"/>
      <c r="E59" s="67"/>
      <c r="F59" s="67"/>
    </row>
    <row r="60" spans="1:11" ht="15">
      <c r="A60" s="67"/>
      <c r="B60" s="67"/>
      <c r="C60" s="67"/>
      <c r="D60" s="67"/>
      <c r="E60" s="67"/>
      <c r="F60" s="67"/>
    </row>
    <row r="61" spans="1:11" ht="15">
      <c r="A61" s="67"/>
      <c r="B61" s="67"/>
      <c r="C61" s="67"/>
      <c r="D61" s="67"/>
      <c r="E61" s="67"/>
      <c r="F61" s="67"/>
    </row>
    <row r="62" spans="1:11" ht="15">
      <c r="A62" s="67"/>
      <c r="B62" s="67"/>
      <c r="C62" s="67"/>
      <c r="D62" s="67"/>
      <c r="E62" s="67"/>
      <c r="F62" s="67"/>
    </row>
    <row r="63" spans="1:11" ht="15">
      <c r="A63" s="67"/>
      <c r="B63" s="67"/>
      <c r="C63" s="67"/>
      <c r="D63" s="67"/>
      <c r="E63" s="67"/>
      <c r="F63" s="67"/>
    </row>
    <row r="64" spans="1:11" ht="15">
      <c r="A64" s="67"/>
      <c r="B64" s="67"/>
      <c r="C64" s="67"/>
      <c r="D64" s="67"/>
      <c r="E64" s="67"/>
      <c r="F64" s="67"/>
    </row>
    <row r="65" spans="1:6" ht="15">
      <c r="A65" s="67"/>
      <c r="B65" s="67"/>
      <c r="C65" s="67"/>
      <c r="D65" s="67"/>
      <c r="E65" s="67"/>
      <c r="F65" s="67"/>
    </row>
    <row r="66" spans="1:6" ht="15">
      <c r="A66" s="67"/>
      <c r="B66" s="67"/>
      <c r="C66" s="67"/>
      <c r="D66" s="67"/>
      <c r="E66" s="67"/>
      <c r="F66" s="67"/>
    </row>
  </sheetData>
  <mergeCells count="17">
    <mergeCell ref="B4:Q5"/>
    <mergeCell ref="B8:B9"/>
    <mergeCell ref="C8:C9"/>
    <mergeCell ref="D8:D9"/>
    <mergeCell ref="E8:F8"/>
    <mergeCell ref="G8:G9"/>
    <mergeCell ref="H8:H9"/>
    <mergeCell ref="G15:G17"/>
    <mergeCell ref="O15:O17"/>
    <mergeCell ref="B15:B17"/>
    <mergeCell ref="C15:C17"/>
    <mergeCell ref="D15:D17"/>
    <mergeCell ref="E16:F16"/>
    <mergeCell ref="E15:F15"/>
    <mergeCell ref="L16:L17"/>
    <mergeCell ref="M16:M17"/>
    <mergeCell ref="N15:N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1A4A-CB34-41AF-B7D0-704CC882097D}">
  <dimension ref="A1:F24"/>
  <sheetViews>
    <sheetView workbookViewId="0">
      <selection activeCell="F24" sqref="F24"/>
    </sheetView>
  </sheetViews>
  <sheetFormatPr defaultRowHeight="12.75"/>
  <cols>
    <col min="1" max="1" width="4" bestFit="1" customWidth="1"/>
    <col min="2" max="2" width="48.7109375" customWidth="1"/>
    <col min="3" max="3" width="13.140625" customWidth="1"/>
    <col min="4" max="4" width="11.7109375" customWidth="1"/>
    <col min="5" max="5" width="12.5703125" style="59" customWidth="1"/>
    <col min="6" max="6" width="15.5703125" customWidth="1"/>
  </cols>
  <sheetData>
    <row r="1" spans="1:6" ht="51" customHeight="1">
      <c r="A1" t="str" cm="1">
        <f t="array" ref="A1:D23">'тендер-прайс'!A1:D23</f>
        <v>№ </v>
      </c>
      <c r="B1" t="str">
        <v>Назва та параметри Послуги </v>
      </c>
      <c r="C1" s="50" t="str">
        <v>Одиниця тарифікації </v>
      </c>
      <c r="D1" s="50" t="str">
        <v>Ціна за одиницю, грн без ПДВ за місяць </v>
      </c>
      <c r="E1" s="50" t="s">
        <v>89</v>
      </c>
      <c r="F1" s="50" t="s">
        <v>90</v>
      </c>
    </row>
    <row r="2" spans="1:6">
      <c r="A2" t="str">
        <v>з/п </v>
      </c>
      <c r="B2">
        <v>0</v>
      </c>
      <c r="C2">
        <v>0</v>
      </c>
      <c r="D2">
        <v>0</v>
      </c>
    </row>
    <row r="3" spans="1:6">
      <c r="A3" t="str">
        <v>1 </v>
      </c>
      <c r="B3" t="str">
        <v>Обчислювальна потужність процесора (vCPU) SAP </v>
      </c>
      <c r="C3" s="59" t="str">
        <v>1 GHz </v>
      </c>
      <c r="D3" s="60">
        <v>123.53</v>
      </c>
      <c r="E3" s="61"/>
      <c r="F3" s="60">
        <f>D3*E3</f>
        <v>0</v>
      </c>
    </row>
    <row r="4" spans="1:6">
      <c r="A4" t="str">
        <v>2 </v>
      </c>
      <c r="B4" t="str">
        <v>Обчислювальна потужність процесора (vCPU) </v>
      </c>
      <c r="C4" s="59" t="str">
        <v>1 GHz </v>
      </c>
      <c r="D4" s="60">
        <v>114.38</v>
      </c>
      <c r="E4" s="61">
        <f>ROUNDUP('Prod 80000'!K23,0)</f>
        <v>372</v>
      </c>
      <c r="F4" s="60">
        <f>D4*E4</f>
        <v>42549.36</v>
      </c>
    </row>
    <row r="5" spans="1:6">
      <c r="A5" t="str">
        <v>3 </v>
      </c>
      <c r="B5" t="str">
        <v>Оперативна пам’ять (vRAM) SAP </v>
      </c>
      <c r="C5" s="59" t="str">
        <v>1 GB </v>
      </c>
      <c r="D5" s="60">
        <v>123.53</v>
      </c>
      <c r="E5" s="61"/>
      <c r="F5" s="60">
        <f>D5*E5</f>
        <v>0</v>
      </c>
    </row>
    <row r="6" spans="1:6">
      <c r="A6" t="str">
        <v>4 </v>
      </c>
      <c r="B6" t="str">
        <v>Оперативна пам’ять (vRAM) </v>
      </c>
      <c r="C6" s="59" t="str">
        <v>1 GB </v>
      </c>
      <c r="D6" s="60">
        <v>118.95</v>
      </c>
      <c r="E6" s="61">
        <f>ROUNDUP('Prod 80000'!K24,0)</f>
        <v>718</v>
      </c>
      <c r="F6" s="60">
        <f>D6*E6</f>
        <v>85406.1</v>
      </c>
    </row>
    <row r="7" spans="1:6">
      <c r="A7" t="str">
        <v>5 </v>
      </c>
      <c r="B7" t="str">
        <v>Накопичувачі та система зберігання (vHDD) 80000 IOPS SAP </v>
      </c>
      <c r="C7" s="59" t="str">
        <v>1 GB </v>
      </c>
      <c r="D7" s="60">
        <v>3.96</v>
      </c>
      <c r="E7" s="61"/>
      <c r="F7" s="60">
        <f>D7*E7</f>
        <v>0</v>
      </c>
    </row>
    <row r="8" spans="1:6">
      <c r="A8" t="str">
        <v>6 </v>
      </c>
      <c r="B8" t="str">
        <v>Накопичувачі та система зберігання (vHDD) 80000 IOPS </v>
      </c>
      <c r="C8" s="59" t="str">
        <v>1 GB </v>
      </c>
      <c r="D8" s="60">
        <v>3.84</v>
      </c>
      <c r="E8" s="61">
        <f>ROUNDUP('Prod 80000'!K25,0)</f>
        <v>2400</v>
      </c>
      <c r="F8" s="60">
        <f>D8*E8</f>
        <v>9216</v>
      </c>
    </row>
    <row r="9" spans="1:6">
      <c r="A9" t="str">
        <v>7 </v>
      </c>
      <c r="B9" t="str">
        <v>Накопичувачі та система зберігання (vHDD) 5000 IOPS SAP </v>
      </c>
      <c r="C9" s="59" t="str">
        <v>1 GB </v>
      </c>
      <c r="D9" s="60">
        <v>0.9</v>
      </c>
      <c r="E9" s="61"/>
      <c r="F9" s="60">
        <f>D9*E9</f>
        <v>0</v>
      </c>
    </row>
    <row r="10" spans="1:6">
      <c r="A10" t="str">
        <v>8 </v>
      </c>
      <c r="B10" t="str">
        <v>Накопичувані та система зберігання (vHDD) 5000 IOPS </v>
      </c>
      <c r="C10" s="59" t="str">
        <v>1 GB </v>
      </c>
      <c r="D10" s="60">
        <v>0.9</v>
      </c>
      <c r="E10" s="61">
        <f>ROUNDUP('Prod 80000'!K26,0)</f>
        <v>100</v>
      </c>
      <c r="F10" s="60">
        <f>D10*E10</f>
        <v>90</v>
      </c>
    </row>
    <row r="11" spans="1:6">
      <c r="A11" t="str">
        <v>9 </v>
      </c>
      <c r="B11" t="str">
        <v>Віртуальна мережа (VLAN) </v>
      </c>
      <c r="C11" s="59" t="str">
        <v>1 екземпляр </v>
      </c>
      <c r="D11" s="60">
        <v>137.25</v>
      </c>
      <c r="E11" s="61">
        <v>3</v>
      </c>
      <c r="F11" s="60">
        <f>D11*E11</f>
        <v>411.75</v>
      </c>
    </row>
    <row r="12" spans="1:6">
      <c r="A12" t="str">
        <v>10 </v>
      </c>
      <c r="B12" t="str">
        <v>Послуга реплікації з використанням VMware Cloud Director Availability </v>
      </c>
      <c r="C12" s="59" t="str">
        <v>1 VM </v>
      </c>
      <c r="D12" s="60">
        <v>1.2</v>
      </c>
      <c r="E12" s="61"/>
      <c r="F12" s="60">
        <f>D12*E12</f>
        <v>0</v>
      </c>
    </row>
    <row r="13" spans="1:6">
      <c r="A13" t="str">
        <v>11 </v>
      </c>
      <c r="B13" t="str">
        <v>Безагентне (на рівні гіпервізору, без необхідності встановлення агентів в гостьові операційні системи) щоденне резервне копіювання даних з глибиною зберігання 31 день** </v>
      </c>
      <c r="C13" s="59" t="str">
        <v>1 GB </v>
      </c>
      <c r="D13" s="60">
        <v>2.75</v>
      </c>
      <c r="E13" s="61">
        <f>(E8+E10)</f>
        <v>2500</v>
      </c>
      <c r="F13" s="60">
        <f>D13*E13</f>
        <v>6875</v>
      </c>
    </row>
    <row r="14" spans="1:6">
      <c r="A14" t="str">
        <v>12 </v>
      </c>
      <c r="B14" t="str">
        <v>Послуга гео бекапування з використанням
Veeam (м.Київ/м.Львів/AWS)*** </v>
      </c>
      <c r="C14" s="59" t="str">
        <v>1 GB </v>
      </c>
      <c r="D14" s="60">
        <v>5.3</v>
      </c>
      <c r="E14" s="61"/>
      <c r="F14" s="60">
        <f>D14*E14</f>
        <v>0</v>
      </c>
    </row>
    <row r="15" spans="1:6">
      <c r="A15" t="str">
        <v>13 </v>
      </c>
      <c r="B15" t="str">
        <v>Віртуальний маршрутизатор з функцією мережевого екрану та VPN </v>
      </c>
      <c r="C15" s="59" t="str">
        <v>1 екземпляр </v>
      </c>
      <c r="D15" s="60">
        <v>457.5</v>
      </c>
      <c r="E15" s="61">
        <v>1</v>
      </c>
      <c r="F15" s="60">
        <f>D15*E15</f>
        <v>457.5</v>
      </c>
    </row>
    <row r="16" spans="1:6">
      <c r="A16" t="str">
        <v>14 </v>
      </c>
      <c r="B16" t="str">
        <v>Підключення до мережі Інтернет 1 Gb/s, зовнішній IP адрес </v>
      </c>
      <c r="C16" s="59" t="str">
        <v>підключення </v>
      </c>
      <c r="D16" s="60">
        <v>3660</v>
      </c>
      <c r="E16" s="61">
        <v>2</v>
      </c>
      <c r="F16" s="60">
        <f>D16*E16</f>
        <v>7320</v>
      </c>
    </row>
    <row r="17" spans="1:6">
      <c r="A17" t="str">
        <v>15 </v>
      </c>
      <c r="B17" t="str">
        <v>Підключення до мережі Інтернет 10 Gb/s з BGP-peering </v>
      </c>
      <c r="C17" s="59" t="str">
        <v>підключення </v>
      </c>
      <c r="D17" s="60">
        <v>40000</v>
      </c>
      <c r="E17" s="61"/>
      <c r="F17" s="60">
        <f>D17*E17</f>
        <v>0</v>
      </c>
    </row>
    <row r="18" spans="1:6">
      <c r="A18" t="str">
        <v>16 </v>
      </c>
      <c r="B18" t="str">
        <v>Виділений канал пропускною здатністю 10G між ЦОД Виконавця та ЦОД Замовника, що знаходиться за адресою </v>
      </c>
      <c r="C18" s="59" t="str">
        <v>1 канал  </v>
      </c>
      <c r="D18" s="60">
        <v>15000</v>
      </c>
      <c r="E18" s="61"/>
      <c r="F18" s="60">
        <f>D18*E18</f>
        <v>0</v>
      </c>
    </row>
    <row r="19" spans="1:6">
      <c r="A19" t="str">
        <v>17 </v>
      </c>
      <c r="B19" t="str">
        <v>Термінація виділеного каналу 1Gb/s (мідний порт) та презентація його у хмарний ландшафт Замовника </v>
      </c>
      <c r="C19" s="59" t="str">
        <v>порт </v>
      </c>
      <c r="D19" s="60">
        <v>100</v>
      </c>
      <c r="E19" s="61"/>
      <c r="F19" s="60">
        <f>D19*E19</f>
        <v>0</v>
      </c>
    </row>
    <row r="20" spans="1:6">
      <c r="A20" t="str">
        <v>18 </v>
      </c>
      <c r="B20" t="str">
        <v>Термінація виділеного каналу 10Gb/s (оптичний порт) та презентація його у хмарний ландшафт Замовника </v>
      </c>
      <c r="C20" s="59" t="str">
        <v>порт </v>
      </c>
      <c r="D20" s="60">
        <v>1500</v>
      </c>
      <c r="E20" s="61"/>
      <c r="F20" s="60">
        <f>D20*E20</f>
        <v>0</v>
      </c>
    </row>
    <row r="21" spans="1:6">
      <c r="A21" t="str">
        <v>19 </v>
      </c>
      <c r="B21" t="str">
        <v>Система моніторингу VMware Aria Operation </v>
      </c>
      <c r="C21" s="59" t="str">
        <v>1 vCPU </v>
      </c>
      <c r="D21" s="60">
        <v>32.03</v>
      </c>
      <c r="E21" s="61">
        <f>E4</f>
        <v>372</v>
      </c>
      <c r="F21" s="60">
        <f>D21*E21</f>
        <v>11915.16</v>
      </c>
    </row>
    <row r="22" spans="1:6">
      <c r="A22" t="str">
        <v>20 </v>
      </c>
      <c r="B22">
        <v>0</v>
      </c>
      <c r="C22" s="59" t="str">
        <v>1 GB vRAM </v>
      </c>
      <c r="D22" s="60">
        <v>16.29</v>
      </c>
      <c r="E22" s="61">
        <f>E4</f>
        <v>372</v>
      </c>
      <c r="F22" s="60">
        <f>D22*E22</f>
        <v>6059.88</v>
      </c>
    </row>
    <row r="23" spans="1:6">
      <c r="A23" t="str">
        <v>21 </v>
      </c>
      <c r="B23" t="str">
        <v>Віртуальна графічна пам'ять GPU на базі nVIDIA L40S з ліцензією AI Enterprise Essentials </v>
      </c>
      <c r="C23" s="59" t="str">
        <v>48 GB </v>
      </c>
      <c r="D23" s="60">
        <v>38000</v>
      </c>
      <c r="E23" s="61"/>
      <c r="F23" s="60">
        <f>D23*E23</f>
        <v>0</v>
      </c>
    </row>
    <row r="24" spans="1:6">
      <c r="F24" s="63">
        <f>SUM(F3:F23)</f>
        <v>170300.75000000003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5B35-D2BE-49F4-B096-2E30C996A422}">
  <dimension ref="A1:E23"/>
  <sheetViews>
    <sheetView zoomScaleNormal="100" workbookViewId="0">
      <selection activeCell="B8" sqref="B8"/>
    </sheetView>
  </sheetViews>
  <sheetFormatPr defaultRowHeight="12.75"/>
  <cols>
    <col min="2" max="2" width="63.85546875" customWidth="1"/>
    <col min="3" max="3" width="23" customWidth="1"/>
    <col min="4" max="4" width="28" customWidth="1"/>
  </cols>
  <sheetData>
    <row r="1" spans="1:5" ht="15.75">
      <c r="A1" s="54" t="s">
        <v>93</v>
      </c>
      <c r="B1" s="121" t="s">
        <v>94</v>
      </c>
      <c r="C1" s="121" t="s">
        <v>95</v>
      </c>
      <c r="D1" s="121" t="s">
        <v>96</v>
      </c>
    </row>
    <row r="2" spans="1:5" ht="15.75">
      <c r="A2" s="54" t="s">
        <v>97</v>
      </c>
      <c r="B2" s="121"/>
      <c r="C2" s="121"/>
      <c r="D2" s="121"/>
    </row>
    <row r="3" spans="1:5" ht="15.75">
      <c r="A3" s="55" t="s">
        <v>98</v>
      </c>
      <c r="B3" s="56" t="s">
        <v>99</v>
      </c>
      <c r="C3" s="57" t="s">
        <v>100</v>
      </c>
      <c r="D3" s="51">
        <v>123.53</v>
      </c>
      <c r="E3" s="53"/>
    </row>
    <row r="4" spans="1:5" ht="15.75">
      <c r="A4" s="55" t="s">
        <v>101</v>
      </c>
      <c r="B4" s="56" t="s">
        <v>102</v>
      </c>
      <c r="C4" s="57" t="s">
        <v>100</v>
      </c>
      <c r="D4" s="52">
        <v>114.38</v>
      </c>
    </row>
    <row r="5" spans="1:5" ht="15.75">
      <c r="A5" s="55" t="s">
        <v>103</v>
      </c>
      <c r="B5" s="56" t="s">
        <v>104</v>
      </c>
      <c r="C5" s="57" t="s">
        <v>105</v>
      </c>
      <c r="D5" s="52">
        <v>123.53</v>
      </c>
    </row>
    <row r="6" spans="1:5" ht="15.75">
      <c r="A6" s="55" t="s">
        <v>106</v>
      </c>
      <c r="B6" s="56" t="s">
        <v>107</v>
      </c>
      <c r="C6" s="57" t="s">
        <v>105</v>
      </c>
      <c r="D6" s="51">
        <v>118.95</v>
      </c>
    </row>
    <row r="7" spans="1:5" ht="15.75">
      <c r="A7" s="55" t="s">
        <v>108</v>
      </c>
      <c r="B7" s="56" t="s">
        <v>109</v>
      </c>
      <c r="C7" s="57" t="s">
        <v>105</v>
      </c>
      <c r="D7" s="51">
        <v>3.96</v>
      </c>
    </row>
    <row r="8" spans="1:5" ht="15.75">
      <c r="A8" s="55" t="s">
        <v>110</v>
      </c>
      <c r="B8" s="56" t="s">
        <v>111</v>
      </c>
      <c r="C8" s="57" t="s">
        <v>105</v>
      </c>
      <c r="D8" s="51">
        <v>3.84</v>
      </c>
    </row>
    <row r="9" spans="1:5" ht="15.75">
      <c r="A9" s="55" t="s">
        <v>112</v>
      </c>
      <c r="B9" s="56" t="s">
        <v>113</v>
      </c>
      <c r="C9" s="57" t="s">
        <v>105</v>
      </c>
      <c r="D9" s="51">
        <v>0.9</v>
      </c>
    </row>
    <row r="10" spans="1:5" ht="15.75">
      <c r="A10" s="55" t="s">
        <v>114</v>
      </c>
      <c r="B10" s="56" t="s">
        <v>115</v>
      </c>
      <c r="C10" s="57" t="s">
        <v>105</v>
      </c>
      <c r="D10" s="51">
        <v>0.9</v>
      </c>
    </row>
    <row r="11" spans="1:5" ht="15.75">
      <c r="A11" s="55" t="s">
        <v>116</v>
      </c>
      <c r="B11" s="56" t="s">
        <v>117</v>
      </c>
      <c r="C11" s="57" t="s">
        <v>118</v>
      </c>
      <c r="D11" s="51">
        <v>137.25</v>
      </c>
    </row>
    <row r="12" spans="1:5" ht="31.5">
      <c r="A12" s="55" t="s">
        <v>119</v>
      </c>
      <c r="B12" s="56" t="s">
        <v>120</v>
      </c>
      <c r="C12" s="57" t="s">
        <v>121</v>
      </c>
      <c r="D12" s="51">
        <v>1.2</v>
      </c>
    </row>
    <row r="13" spans="1:5" ht="63">
      <c r="A13" s="55" t="s">
        <v>122</v>
      </c>
      <c r="B13" s="56" t="s">
        <v>123</v>
      </c>
      <c r="C13" s="57" t="s">
        <v>105</v>
      </c>
      <c r="D13" s="51">
        <v>2.75</v>
      </c>
    </row>
    <row r="14" spans="1:5" ht="31.5">
      <c r="A14" s="55" t="s">
        <v>124</v>
      </c>
      <c r="B14" s="56" t="s">
        <v>125</v>
      </c>
      <c r="C14" s="55" t="s">
        <v>105</v>
      </c>
      <c r="D14" s="51">
        <v>5.3</v>
      </c>
    </row>
    <row r="15" spans="1:5" ht="31.5">
      <c r="A15" s="55" t="s">
        <v>126</v>
      </c>
      <c r="B15" s="56" t="s">
        <v>127</v>
      </c>
      <c r="C15" s="57" t="s">
        <v>118</v>
      </c>
      <c r="D15" s="51">
        <v>457.5</v>
      </c>
    </row>
    <row r="16" spans="1:5" ht="15.75">
      <c r="A16" s="55" t="s">
        <v>128</v>
      </c>
      <c r="B16" s="56" t="s">
        <v>129</v>
      </c>
      <c r="C16" s="57" t="s">
        <v>130</v>
      </c>
      <c r="D16" s="51">
        <v>3660</v>
      </c>
    </row>
    <row r="17" spans="1:4" ht="15.75">
      <c r="A17" s="55" t="s">
        <v>131</v>
      </c>
      <c r="B17" s="56" t="s">
        <v>132</v>
      </c>
      <c r="C17" s="57" t="s">
        <v>130</v>
      </c>
      <c r="D17" s="51">
        <v>40000</v>
      </c>
    </row>
    <row r="18" spans="1:4" ht="31.5">
      <c r="A18" s="55" t="s">
        <v>133</v>
      </c>
      <c r="B18" s="56" t="s">
        <v>134</v>
      </c>
      <c r="C18" s="57" t="s">
        <v>135</v>
      </c>
      <c r="D18" s="51">
        <v>15000</v>
      </c>
    </row>
    <row r="19" spans="1:4" ht="31.5">
      <c r="A19" s="55" t="s">
        <v>136</v>
      </c>
      <c r="B19" s="56" t="s">
        <v>137</v>
      </c>
      <c r="C19" s="57" t="s">
        <v>138</v>
      </c>
      <c r="D19" s="51">
        <v>100</v>
      </c>
    </row>
    <row r="20" spans="1:4" ht="31.5">
      <c r="A20" s="55" t="s">
        <v>139</v>
      </c>
      <c r="B20" s="56" t="s">
        <v>140</v>
      </c>
      <c r="C20" s="57" t="s">
        <v>138</v>
      </c>
      <c r="D20" s="51">
        <v>1500</v>
      </c>
    </row>
    <row r="21" spans="1:4" ht="15.75">
      <c r="A21" s="55" t="s">
        <v>141</v>
      </c>
      <c r="B21" s="120" t="s">
        <v>142</v>
      </c>
      <c r="C21" s="57" t="s">
        <v>143</v>
      </c>
      <c r="D21" s="51">
        <v>32.03</v>
      </c>
    </row>
    <row r="22" spans="1:4" ht="15.75">
      <c r="A22" s="55" t="s">
        <v>144</v>
      </c>
      <c r="B22" s="120"/>
      <c r="C22" s="57" t="s">
        <v>145</v>
      </c>
      <c r="D22" s="51">
        <v>16.29</v>
      </c>
    </row>
    <row r="23" spans="1:4" ht="31.5">
      <c r="A23" s="55" t="s">
        <v>146</v>
      </c>
      <c r="B23" s="58" t="s">
        <v>147</v>
      </c>
      <c r="C23" s="57" t="s">
        <v>148</v>
      </c>
      <c r="D23" s="51">
        <v>38000</v>
      </c>
    </row>
  </sheetData>
  <mergeCells count="4">
    <mergeCell ref="B21:B22"/>
    <mergeCell ref="B1:B2"/>
    <mergeCell ref="C1:C2"/>
    <mergeCell ref="D1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1a4a50-0feb-42fb-be03-d2233b01a506" xsi:nil="true"/>
    <lcf76f155ced4ddcb4097134ff3c332f xmlns="ab3fb770-ef67-4845-91d8-f31e50a9cc54">
      <Terms xmlns="http://schemas.microsoft.com/office/infopath/2007/PartnerControls"/>
    </lcf76f155ced4ddcb4097134ff3c332f>
    <_Flow_SignoffStatus xmlns="ab3fb770-ef67-4845-91d8-f31e50a9cc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CE191A7F9EA194DB6F9304CB196BFE1" ma:contentTypeVersion="17" ma:contentTypeDescription="Створення нового документа." ma:contentTypeScope="" ma:versionID="57e7d8d7c25e095ce9afcb2ba393b9dc">
  <xsd:schema xmlns:xsd="http://www.w3.org/2001/XMLSchema" xmlns:xs="http://www.w3.org/2001/XMLSchema" xmlns:p="http://schemas.microsoft.com/office/2006/metadata/properties" xmlns:ns2="ab3fb770-ef67-4845-91d8-f31e50a9cc54" xmlns:ns3="311a4a50-0feb-42fb-be03-d2233b01a506" targetNamespace="http://schemas.microsoft.com/office/2006/metadata/properties" ma:root="true" ma:fieldsID="05c4c2c2b0480cd79acd733a2153c351" ns2:_="" ns3:_="">
    <xsd:import namespace="ab3fb770-ef67-4845-91d8-f31e50a9cc54"/>
    <xsd:import namespace="311a4a50-0feb-42fb-be03-d2233b01a5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fb770-ef67-4845-91d8-f31e50a9c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aa11529d-8f47-4543-99a3-2c5b5397a9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Стан погодження" ma:internalName="_x0421__x0442__x0430__x043d__x0020__x043f__x043e__x0433__x043e__x0434__x0436__x0435__x043d__x043d__x044f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a4a50-0feb-42fb-be03-d2233b01a5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dd6a7a-4a8c-4b00-99e6-ed469aaf93e7}" ma:internalName="TaxCatchAll" ma:showField="CatchAllData" ma:web="311a4a50-0feb-42fb-be03-d2233b01a5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20AA17-2C46-401A-BDBB-EC5AE154BC79}"/>
</file>

<file path=customXml/itemProps2.xml><?xml version="1.0" encoding="utf-8"?>
<ds:datastoreItem xmlns:ds="http://schemas.openxmlformats.org/officeDocument/2006/customXml" ds:itemID="{618DA0A2-27E5-46EB-9217-F94AF14F822F}"/>
</file>

<file path=customXml/itemProps3.xml><?xml version="1.0" encoding="utf-8"?>
<ds:datastoreItem xmlns:ds="http://schemas.openxmlformats.org/officeDocument/2006/customXml" ds:itemID="{6DAAF213-661B-45C5-BB84-4EC75CDA3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Олег Примак</dc:creator>
  <cp:keywords/>
  <dc:description/>
  <cp:lastModifiedBy/>
  <cp:revision/>
  <dcterms:created xsi:type="dcterms:W3CDTF">2023-01-05T08:24:46Z</dcterms:created>
  <dcterms:modified xsi:type="dcterms:W3CDTF">2026-03-30T13:19:03Z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0x0101007CE191A7F9EA194DB6F9304CB196BFE1</vt:lpwstr>
  </property>
  <property fmtid="{D5CDD505-2E9C-101B-9397-08002B2CF9AE}" pid="3" name="MediaServiceImageTags">
    <vt:lpwstr/>
  </property>
</Properties>
</file>