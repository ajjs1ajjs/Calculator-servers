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заказчики\"/>
    </mc:Choice>
  </mc:AlternateContent>
  <xr:revisionPtr revIDLastSave="0" documentId="13_ncr:1_{0CD2ADF4-4B51-46C1-9BDA-BD465640B49A}" xr6:coauthVersionLast="47" xr6:coauthVersionMax="47" xr10:uidLastSave="{00000000-0000-0000-0000-000000000000}"/>
  <bookViews>
    <workbookView xWindow="1770" yWindow="1470" windowWidth="25905" windowHeight="14565" xr2:uid="{00000000-000D-0000-FFFF-FFFF00000000}"/>
  </bookViews>
  <sheets>
    <sheet name="Prod" sheetId="2" r:id="rId1"/>
    <sheet name="Test Dev PredProd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69" i="1"/>
  <c r="D66" i="1"/>
  <c r="E51" i="2"/>
  <c r="P18" i="2"/>
  <c r="O18" i="2"/>
  <c r="N18" i="2"/>
  <c r="E38" i="1"/>
  <c r="D38" i="1"/>
  <c r="E52" i="1"/>
  <c r="D52" i="1"/>
  <c r="D69" i="1"/>
  <c r="E54" i="2"/>
  <c r="D54" i="2"/>
  <c r="D51" i="2"/>
  <c r="D38" i="2"/>
  <c r="E38" i="2"/>
</calcChain>
</file>

<file path=xl/sharedStrings.xml><?xml version="1.0" encoding="utf-8"?>
<sst xmlns="http://schemas.openxmlformats.org/spreadsheetml/2006/main" count="400" uniqueCount="70">
  <si>
    <t>Роль</t>
  </si>
  <si>
    <t>Disk</t>
  </si>
  <si>
    <t>OS</t>
  </si>
  <si>
    <t>ssd</t>
  </si>
  <si>
    <t>Мастер нода</t>
  </si>
  <si>
    <t>ОС</t>
  </si>
  <si>
    <t>LDF, TEMPDB</t>
  </si>
  <si>
    <t>MainData</t>
  </si>
  <si>
    <t>IOPS</t>
  </si>
  <si>
    <t>Latency &lt;=, mc</t>
  </si>
  <si>
    <t>50r/50w</t>
  </si>
  <si>
    <t>&gt;=250</t>
  </si>
  <si>
    <t>sata</t>
  </si>
  <si>
    <t> </t>
  </si>
  <si>
    <t>Kubernetes</t>
  </si>
  <si>
    <t>CPU</t>
  </si>
  <si>
    <t>RAM</t>
  </si>
  <si>
    <t>Worker 1</t>
  </si>
  <si>
    <t>pod 1</t>
  </si>
  <si>
    <t>Local SQL</t>
  </si>
  <si>
    <t>pod 2</t>
  </si>
  <si>
    <t xml:space="preserve">pod 1 </t>
  </si>
  <si>
    <t xml:space="preserve">GraphQL </t>
  </si>
  <si>
    <t>ForceBPM.Engine</t>
  </si>
  <si>
    <t>ForceBPM.Modeler</t>
  </si>
  <si>
    <t>ForceBPM.Tasks</t>
  </si>
  <si>
    <t>Планировщик</t>
  </si>
  <si>
    <t>Local SQL для планировщика</t>
  </si>
  <si>
    <t xml:space="preserve">Worker 2 </t>
  </si>
  <si>
    <t>GraphQL</t>
  </si>
  <si>
    <t>Local SQL robot</t>
  </si>
  <si>
    <t>Master</t>
  </si>
  <si>
    <t xml:space="preserve">OS </t>
  </si>
  <si>
    <t>Dev</t>
  </si>
  <si>
    <t>Test</t>
  </si>
  <si>
    <t>Redis</t>
  </si>
  <si>
    <t xml:space="preserve">AS robot </t>
  </si>
  <si>
    <t>Кількість конкурентних ліцензій</t>
  </si>
  <si>
    <t>Перелік VM</t>
  </si>
  <si>
    <t>VM ОС Windows</t>
  </si>
  <si>
    <t>VM Kubernetes</t>
  </si>
  <si>
    <t>CPU, ядра від 2.4 ГГц</t>
  </si>
  <si>
    <t>Тип</t>
  </si>
  <si>
    <t>Кількість нод</t>
  </si>
  <si>
    <t>Робоча нода</t>
  </si>
  <si>
    <t>RAM, GB</t>
  </si>
  <si>
    <t>GB</t>
  </si>
  <si>
    <t>СКБД</t>
  </si>
  <si>
    <t>Значення</t>
  </si>
  <si>
    <t>Cервіс</t>
  </si>
  <si>
    <t>Всього</t>
  </si>
  <si>
    <t>Деталізація розрахунку ресурсів</t>
  </si>
  <si>
    <t>Сервіси</t>
  </si>
  <si>
    <t>Сесії</t>
  </si>
  <si>
    <t>Сервер додатків</t>
  </si>
  <si>
    <t>Сервер додатків + Redis (AS)</t>
  </si>
  <si>
    <t>Веб-клієнт</t>
  </si>
  <si>
    <t>Планувальник</t>
  </si>
  <si>
    <t>Веб-сервіси (WS)</t>
  </si>
  <si>
    <t>Сервер звітів (можна встановити на BM СКБД)</t>
  </si>
  <si>
    <t>*VM СКБД розраховано за сумарною кількістю ліцензій для середовища TEST та Dev згідно 20 ліцензій</t>
  </si>
  <si>
    <t>Local SQL для планувальника</t>
  </si>
  <si>
    <t>Сервер звітів</t>
  </si>
  <si>
    <t>MiB /s</t>
  </si>
  <si>
    <t>ContentData</t>
  </si>
  <si>
    <t>Windows 2019/2022</t>
  </si>
  <si>
    <t>Ubuntu 24.04 LTS</t>
  </si>
  <si>
    <t>PredProd</t>
  </si>
  <si>
    <t>Worker 2</t>
  </si>
  <si>
    <t>Worker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</si>
</sst>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Calibri"/>
    </font>
    <font>
      <sz val="10"/>
      <color rgb="FF000000"/>
      <name val="Arial"/>
      <family val="2"/>
      <charset val="204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theme="1"/>
      <name val="Arial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2" xfId="0" applyFont="1" applyBorder="1"/>
    <xf numFmtId="0" fontId="1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0" fillId="0" borderId="3" xfId="0" applyBorder="1"/>
    <xf numFmtId="0" fontId="6" fillId="0" borderId="3" xfId="0" applyFont="1" applyBorder="1"/>
    <xf numFmtId="0" fontId="7" fillId="0" borderId="3" xfId="0" applyFont="1" applyBorder="1"/>
    <xf numFmtId="0" fontId="8" fillId="0" borderId="2" xfId="0" applyFont="1" applyBorder="1"/>
    <xf numFmtId="0" fontId="0" fillId="0" borderId="4" xfId="0" applyBorder="1"/>
    <xf numFmtId="0" fontId="9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/>
    <xf numFmtId="0" fontId="0" fillId="0" borderId="19" xfId="0" applyBorder="1" applyAlignment="1">
      <alignment horizontal="center" vertical="center"/>
    </xf>
    <xf numFmtId="0" fontId="9" fillId="0" borderId="3" xfId="0" applyFont="1" applyBorder="1"/>
    <xf numFmtId="0" fontId="9" fillId="0" borderId="17" xfId="0" applyFont="1" applyBorder="1"/>
    <xf numFmtId="0" fontId="9" fillId="0" borderId="23" xfId="0" applyFont="1" applyBorder="1"/>
    <xf numFmtId="0" fontId="9" fillId="0" borderId="24" xfId="0" applyFont="1" applyBorder="1"/>
    <xf numFmtId="0" fontId="0" fillId="0" borderId="19" xfId="0" applyBorder="1"/>
    <xf numFmtId="0" fontId="9" fillId="0" borderId="19" xfId="0" applyFont="1" applyBorder="1"/>
    <xf numFmtId="0" fontId="7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" fillId="2" borderId="3" xfId="0" applyFont="1" applyFill="1" applyBorder="1"/>
    <xf numFmtId="0" fontId="3" fillId="2" borderId="3" xfId="0" applyFont="1" applyFill="1" applyBorder="1" applyAlignment="1">
      <alignment horizontal="right"/>
    </xf>
    <xf numFmtId="0" fontId="12" fillId="0" borderId="0" xfId="0" applyFont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6" fillId="0" borderId="17" xfId="0" applyFont="1" applyBorder="1"/>
    <xf numFmtId="0" fontId="11" fillId="4" borderId="3" xfId="0" applyFont="1" applyFill="1" applyBorder="1"/>
    <xf numFmtId="0" fontId="10" fillId="0" borderId="3" xfId="0" applyFont="1" applyBorder="1"/>
    <xf numFmtId="0" fontId="9" fillId="3" borderId="3" xfId="0" applyFont="1" applyFill="1" applyBorder="1"/>
    <xf numFmtId="0" fontId="3" fillId="0" borderId="1" xfId="0" applyFont="1" applyBorder="1"/>
    <xf numFmtId="0" fontId="0" fillId="0" borderId="26" xfId="0" applyBorder="1" applyAlignment="1">
      <alignment horizontal="center" vertical="center"/>
    </xf>
    <xf numFmtId="0" fontId="12" fillId="0" borderId="3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3" borderId="28" xfId="0" applyFont="1" applyFill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34" xfId="0" applyBorder="1"/>
    <xf numFmtId="0" fontId="13" fillId="0" borderId="2" xfId="0" applyFont="1" applyBorder="1"/>
    <xf numFmtId="0" fontId="10" fillId="0" borderId="0" xfId="0" applyFont="1"/>
    <xf numFmtId="0" fontId="10" fillId="0" borderId="11" xfId="0" applyFont="1" applyBorder="1"/>
    <xf numFmtId="0" fontId="10" fillId="6" borderId="0" xfId="0" applyFont="1" applyFill="1"/>
    <xf numFmtId="0" fontId="7" fillId="0" borderId="3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2" fillId="0" borderId="25" xfId="0" applyFont="1" applyBorder="1"/>
    <xf numFmtId="0" fontId="9" fillId="0" borderId="26" xfId="0" applyFont="1" applyBorder="1"/>
    <xf numFmtId="0" fontId="0" fillId="0" borderId="26" xfId="0" applyBorder="1" applyAlignment="1">
      <alignment horizontal="right"/>
    </xf>
    <xf numFmtId="0" fontId="12" fillId="0" borderId="27" xfId="0" applyFont="1" applyBorder="1" applyAlignment="1">
      <alignment vertical="center"/>
    </xf>
    <xf numFmtId="0" fontId="9" fillId="0" borderId="18" xfId="0" applyFont="1" applyBorder="1"/>
    <xf numFmtId="0" fontId="9" fillId="0" borderId="19" xfId="0" applyFont="1" applyBorder="1" applyAlignment="1">
      <alignment horizontal="right"/>
    </xf>
    <xf numFmtId="0" fontId="12" fillId="0" borderId="20" xfId="0" applyFont="1" applyBorder="1" applyAlignment="1">
      <alignment vertical="center"/>
    </xf>
    <xf numFmtId="0" fontId="0" fillId="0" borderId="9" xfId="0" applyBorder="1"/>
    <xf numFmtId="0" fontId="7" fillId="0" borderId="35" xfId="0" applyFont="1" applyBorder="1" applyAlignment="1">
      <alignment horizontal="center" vertical="center"/>
    </xf>
    <xf numFmtId="0" fontId="9" fillId="0" borderId="31" xfId="0" applyFont="1" applyBorder="1"/>
    <xf numFmtId="0" fontId="0" fillId="0" borderId="18" xfId="0" applyBorder="1"/>
    <xf numFmtId="0" fontId="9" fillId="0" borderId="39" xfId="0" applyFont="1" applyBorder="1"/>
    <xf numFmtId="0" fontId="0" fillId="0" borderId="8" xfId="0" applyBorder="1"/>
    <xf numFmtId="0" fontId="0" fillId="0" borderId="10" xfId="0" applyBorder="1"/>
    <xf numFmtId="0" fontId="13" fillId="0" borderId="13" xfId="0" applyFont="1" applyBorder="1"/>
    <xf numFmtId="0" fontId="12" fillId="0" borderId="36" xfId="0" applyFont="1" applyBorder="1"/>
    <xf numFmtId="0" fontId="1" fillId="7" borderId="3" xfId="0" applyFont="1" applyFill="1" applyBorder="1"/>
    <xf numFmtId="0" fontId="11" fillId="4" borderId="7" xfId="0" applyFont="1" applyFill="1" applyBorder="1"/>
    <xf numFmtId="0" fontId="7" fillId="0" borderId="7" xfId="0" applyFont="1" applyBorder="1"/>
    <xf numFmtId="0" fontId="3" fillId="0" borderId="40" xfId="0" applyFont="1" applyBorder="1"/>
    <xf numFmtId="0" fontId="0" fillId="0" borderId="7" xfId="0" applyBorder="1"/>
    <xf numFmtId="0" fontId="6" fillId="0" borderId="7" xfId="0" applyFont="1" applyBorder="1"/>
    <xf numFmtId="0" fontId="2" fillId="7" borderId="3" xfId="0" applyFont="1" applyFill="1" applyBorder="1"/>
    <xf numFmtId="0" fontId="11" fillId="7" borderId="7" xfId="0" applyFont="1" applyFill="1" applyBorder="1"/>
    <xf numFmtId="0" fontId="11" fillId="7" borderId="3" xfId="0" applyFont="1" applyFill="1" applyBorder="1"/>
    <xf numFmtId="0" fontId="14" fillId="4" borderId="3" xfId="0" applyFont="1" applyFill="1" applyBorder="1"/>
    <xf numFmtId="0" fontId="9" fillId="4" borderId="3" xfId="0" applyFont="1" applyFill="1" applyBorder="1"/>
    <xf numFmtId="0" fontId="10" fillId="4" borderId="3" xfId="0" applyFont="1" applyFill="1" applyBorder="1"/>
    <xf numFmtId="0" fontId="2" fillId="0" borderId="3" xfId="0" applyFont="1" applyBorder="1" applyAlignment="1">
      <alignment horizontal="center"/>
    </xf>
    <xf numFmtId="0" fontId="9" fillId="3" borderId="18" xfId="0" applyFont="1" applyFill="1" applyBorder="1"/>
    <xf numFmtId="0" fontId="9" fillId="3" borderId="23" xfId="0" applyFont="1" applyFill="1" applyBorder="1"/>
    <xf numFmtId="0" fontId="0" fillId="5" borderId="23" xfId="0" applyFill="1" applyBorder="1"/>
    <xf numFmtId="0" fontId="0" fillId="0" borderId="36" xfId="0" applyBorder="1"/>
    <xf numFmtId="0" fontId="11" fillId="4" borderId="6" xfId="0" applyFont="1" applyFill="1" applyBorder="1"/>
    <xf numFmtId="0" fontId="2" fillId="0" borderId="6" xfId="0" applyFont="1" applyBorder="1" applyAlignment="1">
      <alignment horizontal="center"/>
    </xf>
    <xf numFmtId="0" fontId="0" fillId="0" borderId="6" xfId="0" applyBorder="1"/>
    <xf numFmtId="0" fontId="0" fillId="6" borderId="12" xfId="0" applyFill="1" applyBorder="1"/>
    <xf numFmtId="0" fontId="10" fillId="4" borderId="17" xfId="0" applyFont="1" applyFill="1" applyBorder="1"/>
    <xf numFmtId="0" fontId="13" fillId="0" borderId="3" xfId="0" applyFont="1" applyBorder="1"/>
    <xf numFmtId="0" fontId="11" fillId="8" borderId="3" xfId="0" applyFont="1" applyFill="1" applyBorder="1"/>
    <xf numFmtId="0" fontId="0" fillId="8" borderId="3" xfId="0" applyFill="1" applyBorder="1"/>
    <xf numFmtId="0" fontId="7" fillId="0" borderId="20" xfId="0" applyFont="1" applyBorder="1" applyAlignment="1">
      <alignment horizontal="center" vertical="center"/>
    </xf>
    <xf numFmtId="0" fontId="12" fillId="0" borderId="18" xfId="0" applyFont="1" applyBorder="1"/>
    <xf numFmtId="0" fontId="0" fillId="0" borderId="19" xfId="0" applyBorder="1" applyAlignment="1">
      <alignment horizontal="right"/>
    </xf>
    <xf numFmtId="0" fontId="9" fillId="3" borderId="19" xfId="0" applyFont="1" applyFill="1" applyBorder="1"/>
    <xf numFmtId="0" fontId="0" fillId="5" borderId="19" xfId="0" applyFill="1" applyBorder="1"/>
    <xf numFmtId="0" fontId="10" fillId="0" borderId="35" xfId="0" applyFont="1" applyBorder="1" applyAlignment="1">
      <alignment horizontal="center" vertical="center"/>
    </xf>
    <xf numFmtId="0" fontId="11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9" fillId="0" borderId="25" xfId="0" applyFont="1" applyBorder="1"/>
    <xf numFmtId="0" fontId="9" fillId="0" borderId="26" xfId="0" applyFont="1" applyBorder="1" applyAlignment="1">
      <alignment horizontal="right"/>
    </xf>
    <xf numFmtId="0" fontId="12" fillId="0" borderId="11" xfId="0" applyFont="1" applyBorder="1"/>
    <xf numFmtId="0" fontId="10" fillId="0" borderId="13" xfId="0" applyFont="1" applyBorder="1"/>
    <xf numFmtId="0" fontId="9" fillId="0" borderId="34" xfId="0" applyFont="1" applyBorder="1"/>
    <xf numFmtId="0" fontId="12" fillId="0" borderId="45" xfId="0" applyFont="1" applyBorder="1"/>
    <xf numFmtId="0" fontId="0" fillId="0" borderId="26" xfId="0" applyBorder="1" applyAlignment="1">
      <alignment horizontal="right" vertical="center"/>
    </xf>
    <xf numFmtId="0" fontId="9" fillId="0" borderId="27" xfId="0" applyFont="1" applyBorder="1"/>
    <xf numFmtId="0" fontId="12" fillId="0" borderId="22" xfId="0" applyFont="1" applyBorder="1"/>
    <xf numFmtId="0" fontId="9" fillId="0" borderId="20" xfId="0" applyFont="1" applyBorder="1"/>
    <xf numFmtId="0" fontId="10" fillId="0" borderId="3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2" xfId="0" applyFont="1" applyBorder="1"/>
    <xf numFmtId="0" fontId="0" fillId="0" borderId="34" xfId="0" applyBorder="1" applyAlignment="1">
      <alignment wrapText="1"/>
    </xf>
    <xf numFmtId="0" fontId="9" fillId="0" borderId="36" xfId="0" applyFont="1" applyBorder="1"/>
    <xf numFmtId="0" fontId="12" fillId="0" borderId="0" xfId="0" applyFont="1" applyAlignment="1">
      <alignment vertical="center"/>
    </xf>
    <xf numFmtId="0" fontId="0" fillId="6" borderId="0" xfId="0" applyFill="1"/>
    <xf numFmtId="0" fontId="10" fillId="4" borderId="6" xfId="0" applyFont="1" applyFill="1" applyBorder="1"/>
    <xf numFmtId="0" fontId="7" fillId="0" borderId="6" xfId="0" applyFont="1" applyBorder="1"/>
    <xf numFmtId="0" fontId="6" fillId="0" borderId="6" xfId="0" applyFont="1" applyBorder="1"/>
    <xf numFmtId="0" fontId="14" fillId="4" borderId="7" xfId="0" applyFont="1" applyFill="1" applyBorder="1"/>
    <xf numFmtId="0" fontId="12" fillId="0" borderId="7" xfId="0" applyFont="1" applyBorder="1"/>
    <xf numFmtId="0" fontId="0" fillId="0" borderId="54" xfId="0" applyBorder="1"/>
    <xf numFmtId="0" fontId="8" fillId="0" borderId="3" xfId="0" applyFont="1" applyBorder="1"/>
    <xf numFmtId="0" fontId="8" fillId="0" borderId="55" xfId="0" applyFont="1" applyBorder="1"/>
    <xf numFmtId="0" fontId="1" fillId="0" borderId="3" xfId="0" applyFont="1" applyBorder="1"/>
    <xf numFmtId="0" fontId="7" fillId="0" borderId="9" xfId="0" applyFont="1" applyBorder="1"/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4" borderId="8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34" xfId="0" applyFont="1" applyFill="1" applyBorder="1" applyAlignment="1">
      <alignment horizontal="left" vertical="center"/>
    </xf>
    <xf numFmtId="0" fontId="14" fillId="4" borderId="36" xfId="0" applyFont="1" applyFill="1" applyBorder="1" applyAlignment="1">
      <alignment horizontal="left" vertical="center"/>
    </xf>
    <xf numFmtId="0" fontId="10" fillId="0" borderId="29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49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enterprise-my.sharepoint.com/personal/karavaev_it_ua/Documents/&#1050;&#1086;&#1087;&#1080;&#1103;%20&#1056;&#1086;&#1079;&#1088;&#1072;&#1093;&#1091;&#1085;&#1086;&#1082;%20&#1088;&#1077;&#1089;&#1091;&#1088;&#1089;&#1110;&#1074;%20v1.xlsx" TargetMode="External"/><Relationship Id="rId1" Type="http://schemas.openxmlformats.org/officeDocument/2006/relationships/externalLinkPath" Target="https://itenterprise-my.sharepoint.com/personal/karavaev_it_ua/Documents/&#1050;&#1086;&#1087;&#1080;&#1103;%20&#1056;&#1086;&#1079;&#1088;&#1072;&#1093;&#1091;&#1085;&#1086;&#1082;%20&#1088;&#1077;&#1089;&#1091;&#1088;&#1089;&#1110;&#1074;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"/>
      <sheetName val="СКБД"/>
      <sheetName val="Windows"/>
      <sheetName val="Linux"/>
      <sheetName val="ForceBPM"/>
      <sheetName val="Допоміжний"/>
    </sheetNames>
    <sheetDataSet>
      <sheetData sheetId="0">
        <row r="2">
          <cell r="C2">
            <v>50</v>
          </cell>
        </row>
      </sheetData>
      <sheetData sheetId="1">
        <row r="5">
          <cell r="B5">
            <v>1</v>
          </cell>
          <cell r="C5">
            <v>10</v>
          </cell>
          <cell r="H5" t="str">
            <v>&gt;=200</v>
          </cell>
          <cell r="I5">
            <v>8</v>
          </cell>
          <cell r="J5">
            <v>60</v>
          </cell>
        </row>
        <row r="6">
          <cell r="B6">
            <v>11</v>
          </cell>
          <cell r="C6">
            <v>25</v>
          </cell>
          <cell r="H6" t="str">
            <v>&gt;=250</v>
          </cell>
          <cell r="I6">
            <v>7</v>
          </cell>
          <cell r="J6">
            <v>120</v>
          </cell>
        </row>
        <row r="7">
          <cell r="B7">
            <v>26</v>
          </cell>
          <cell r="C7">
            <v>50</v>
          </cell>
          <cell r="H7" t="str">
            <v>&gt;=300</v>
          </cell>
          <cell r="I7">
            <v>5</v>
          </cell>
          <cell r="J7">
            <v>160</v>
          </cell>
        </row>
        <row r="8">
          <cell r="B8">
            <v>51</v>
          </cell>
          <cell r="C8">
            <v>100</v>
          </cell>
          <cell r="H8" t="str">
            <v>&gt;=500</v>
          </cell>
          <cell r="I8">
            <v>4</v>
          </cell>
          <cell r="J8">
            <v>240</v>
          </cell>
        </row>
        <row r="9">
          <cell r="B9">
            <v>101</v>
          </cell>
          <cell r="C9">
            <v>200</v>
          </cell>
          <cell r="H9" t="str">
            <v>&gt;=800</v>
          </cell>
          <cell r="I9">
            <v>3</v>
          </cell>
          <cell r="J9">
            <v>500</v>
          </cell>
        </row>
        <row r="10">
          <cell r="B10">
            <v>201</v>
          </cell>
          <cell r="C10">
            <v>350</v>
          </cell>
          <cell r="H10" t="str">
            <v>&gt;=1400</v>
          </cell>
          <cell r="I10">
            <v>2</v>
          </cell>
          <cell r="J10">
            <v>600</v>
          </cell>
        </row>
        <row r="11">
          <cell r="B11">
            <v>351</v>
          </cell>
          <cell r="C11">
            <v>500</v>
          </cell>
          <cell r="H11" t="str">
            <v>&gt;=2000</v>
          </cell>
          <cell r="I11">
            <v>1</v>
          </cell>
          <cell r="J11">
            <v>700</v>
          </cell>
        </row>
        <row r="12">
          <cell r="B12">
            <v>501</v>
          </cell>
          <cell r="C12">
            <v>1000</v>
          </cell>
          <cell r="H12" t="str">
            <v>&gt;=4000</v>
          </cell>
          <cell r="I12" t="str">
            <v>0.6</v>
          </cell>
          <cell r="J12">
            <v>800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E28D-3353-44A5-8FF4-42FE8AF567AD}">
  <dimension ref="A1:Q57"/>
  <sheetViews>
    <sheetView tabSelected="1" topLeftCell="A21" zoomScaleNormal="100" workbookViewId="0">
      <selection activeCell="C10" sqref="C10"/>
    </sheetView>
  </sheetViews>
  <sheetFormatPr defaultRowHeight="12.75" x14ac:dyDescent="0.2"/>
  <cols>
    <col min="1" max="1" width="7.7109375" customWidth="1"/>
    <col min="2" max="2" width="41.85546875" bestFit="1" customWidth="1"/>
    <col min="3" max="3" width="23" bestFit="1" customWidth="1"/>
    <col min="4" max="4" width="12.85546875" bestFit="1" customWidth="1"/>
    <col min="5" max="5" width="12" customWidth="1"/>
    <col min="6" max="6" width="16.140625" bestFit="1" customWidth="1"/>
    <col min="7" max="7" width="27.140625" bestFit="1" customWidth="1"/>
    <col min="8" max="8" width="16.85546875" bestFit="1" customWidth="1"/>
    <col min="9" max="9" width="9.28515625" customWidth="1"/>
    <col min="10" max="11" width="10.5703125" customWidth="1"/>
    <col min="15" max="15" width="15" bestFit="1" customWidth="1"/>
    <col min="17" max="17" width="18" bestFit="1" customWidth="1"/>
  </cols>
  <sheetData>
    <row r="1" spans="1:17" x14ac:dyDescent="0.2">
      <c r="A1" s="9"/>
      <c r="B1" s="9"/>
      <c r="C1" s="28" t="s">
        <v>48</v>
      </c>
      <c r="D1" s="9"/>
      <c r="E1" s="9"/>
      <c r="F1" s="9"/>
      <c r="G1" s="9"/>
      <c r="H1" s="9"/>
      <c r="I1" s="9"/>
      <c r="J1" s="9"/>
      <c r="K1" s="9"/>
    </row>
    <row r="2" spans="1:17" x14ac:dyDescent="0.2">
      <c r="A2" s="9"/>
      <c r="B2" s="48" t="s">
        <v>37</v>
      </c>
      <c r="C2" s="50">
        <v>50</v>
      </c>
      <c r="D2" s="9"/>
      <c r="E2" s="9"/>
      <c r="F2" s="9"/>
      <c r="G2" s="9"/>
      <c r="H2" s="9"/>
      <c r="I2" s="9"/>
      <c r="J2" s="9"/>
      <c r="K2" s="9"/>
    </row>
    <row r="3" spans="1:17" ht="13.5" thickBot="1" x14ac:dyDescent="0.25">
      <c r="A3" s="9"/>
      <c r="B3" s="48"/>
      <c r="C3" s="48"/>
      <c r="D3" s="9"/>
      <c r="E3" s="9"/>
      <c r="F3" s="9"/>
      <c r="G3" s="9"/>
      <c r="H3" s="9"/>
      <c r="I3" s="9"/>
      <c r="J3" s="9"/>
      <c r="K3" s="9"/>
    </row>
    <row r="4" spans="1:17" x14ac:dyDescent="0.2">
      <c r="A4" s="9"/>
      <c r="B4" s="171" t="s">
        <v>38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3"/>
    </row>
    <row r="5" spans="1:17" ht="13.5" thickBot="1" x14ac:dyDescent="0.25">
      <c r="A5" s="9"/>
      <c r="B5" s="174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6"/>
    </row>
    <row r="6" spans="1:17" x14ac:dyDescent="0.2">
      <c r="A6" s="9"/>
      <c r="B6" s="39"/>
      <c r="C6" s="40"/>
      <c r="D6" s="40"/>
      <c r="E6" s="40"/>
      <c r="F6" s="40"/>
      <c r="G6" s="40"/>
      <c r="H6" s="40"/>
      <c r="I6" s="40"/>
      <c r="J6" s="40"/>
      <c r="K6" s="40"/>
      <c r="L6" s="60"/>
      <c r="M6" s="60"/>
      <c r="N6" s="60"/>
      <c r="O6" s="60"/>
      <c r="P6" s="60"/>
      <c r="Q6" s="66"/>
    </row>
    <row r="7" spans="1:17" ht="13.5" thickBot="1" x14ac:dyDescent="0.25">
      <c r="A7" s="9"/>
      <c r="B7" s="49" t="s">
        <v>40</v>
      </c>
      <c r="C7" s="9"/>
      <c r="D7" s="9"/>
      <c r="E7" s="9"/>
      <c r="F7" s="9"/>
      <c r="G7" s="9"/>
      <c r="H7" s="9"/>
      <c r="I7" s="9"/>
      <c r="J7" s="9"/>
      <c r="K7" s="9"/>
      <c r="Q7" s="43"/>
    </row>
    <row r="8" spans="1:17" x14ac:dyDescent="0.2">
      <c r="A8" s="9"/>
      <c r="B8" s="145" t="s">
        <v>0</v>
      </c>
      <c r="C8" s="145" t="s">
        <v>41</v>
      </c>
      <c r="D8" s="147" t="s">
        <v>45</v>
      </c>
      <c r="E8" s="149" t="s">
        <v>1</v>
      </c>
      <c r="F8" s="150"/>
      <c r="G8" s="132" t="s">
        <v>43</v>
      </c>
      <c r="H8" s="132" t="s">
        <v>2</v>
      </c>
      <c r="I8" s="9"/>
      <c r="J8" s="9"/>
      <c r="K8" s="9"/>
      <c r="Q8" s="43"/>
    </row>
    <row r="9" spans="1:17" ht="13.5" thickBot="1" x14ac:dyDescent="0.25">
      <c r="A9" s="9"/>
      <c r="B9" s="193"/>
      <c r="C9" s="193"/>
      <c r="D9" s="201"/>
      <c r="E9" s="23" t="s">
        <v>42</v>
      </c>
      <c r="F9" s="94" t="s">
        <v>46</v>
      </c>
      <c r="G9" s="194"/>
      <c r="H9" s="192"/>
      <c r="I9" s="9"/>
      <c r="J9" s="9"/>
      <c r="K9" s="9"/>
      <c r="Q9" s="43"/>
    </row>
    <row r="10" spans="1:17" x14ac:dyDescent="0.2">
      <c r="A10" s="9"/>
      <c r="B10" s="104" t="s">
        <v>4</v>
      </c>
      <c r="C10" s="54">
        <v>2</v>
      </c>
      <c r="D10" s="54">
        <v>4</v>
      </c>
      <c r="E10" s="105" t="s">
        <v>3</v>
      </c>
      <c r="F10" s="54">
        <v>100</v>
      </c>
      <c r="G10" s="54">
        <v>1</v>
      </c>
      <c r="H10" s="56" t="s">
        <v>66</v>
      </c>
      <c r="I10" s="28"/>
      <c r="J10" s="9"/>
      <c r="K10" s="9"/>
      <c r="Q10" s="43"/>
    </row>
    <row r="11" spans="1:17" ht="13.5" thickBot="1" x14ac:dyDescent="0.25">
      <c r="A11" s="9"/>
      <c r="B11" s="95" t="s">
        <v>44</v>
      </c>
      <c r="C11" s="22">
        <v>6</v>
      </c>
      <c r="D11" s="22">
        <v>36</v>
      </c>
      <c r="E11" s="96" t="s">
        <v>3</v>
      </c>
      <c r="F11" s="21">
        <v>150</v>
      </c>
      <c r="G11" s="22">
        <v>2</v>
      </c>
      <c r="H11" s="59" t="s">
        <v>66</v>
      </c>
      <c r="I11" s="28"/>
      <c r="J11" s="9"/>
      <c r="K11" s="9"/>
      <c r="Q11" s="43"/>
    </row>
    <row r="12" spans="1:17" x14ac:dyDescent="0.2">
      <c r="A12" s="9"/>
      <c r="B12" s="106"/>
      <c r="C12" s="9"/>
      <c r="D12" s="9"/>
      <c r="E12" s="103"/>
      <c r="G12" s="9"/>
      <c r="H12" s="120"/>
      <c r="I12" s="9"/>
      <c r="J12" s="9"/>
      <c r="K12" s="9"/>
      <c r="Q12" s="43"/>
    </row>
    <row r="13" spans="1:17" x14ac:dyDescent="0.2">
      <c r="A13" s="9"/>
      <c r="B13" s="44"/>
      <c r="Q13" s="43"/>
    </row>
    <row r="14" spans="1:17" ht="13.5" customHeight="1" thickBot="1" x14ac:dyDescent="0.25">
      <c r="A14" s="9"/>
      <c r="B14" s="107" t="s">
        <v>39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46"/>
      <c r="Q14" s="43"/>
    </row>
    <row r="15" spans="1:17" ht="12.75" customHeight="1" x14ac:dyDescent="0.2">
      <c r="A15" s="9"/>
      <c r="B15" s="180" t="s">
        <v>0</v>
      </c>
      <c r="C15" s="181" t="s">
        <v>41</v>
      </c>
      <c r="D15" s="132" t="s">
        <v>45</v>
      </c>
      <c r="E15" s="187" t="s">
        <v>1</v>
      </c>
      <c r="F15" s="188"/>
      <c r="G15" s="188"/>
      <c r="H15" s="188"/>
      <c r="I15" s="188"/>
      <c r="J15" s="188"/>
      <c r="K15" s="188"/>
      <c r="L15" s="188"/>
      <c r="M15" s="188"/>
      <c r="N15" s="188"/>
      <c r="O15" s="189"/>
      <c r="P15" s="202" t="s">
        <v>63</v>
      </c>
      <c r="Q15" s="204" t="s">
        <v>2</v>
      </c>
    </row>
    <row r="16" spans="1:17" ht="15" customHeight="1" x14ac:dyDescent="0.25">
      <c r="A16" s="9"/>
      <c r="B16" s="151"/>
      <c r="C16" s="182"/>
      <c r="D16" s="133"/>
      <c r="E16" s="183" t="s">
        <v>5</v>
      </c>
      <c r="F16" s="184"/>
      <c r="G16" s="185" t="s">
        <v>6</v>
      </c>
      <c r="H16" s="186"/>
      <c r="I16" s="190" t="s">
        <v>7</v>
      </c>
      <c r="J16" s="191"/>
      <c r="K16" s="195" t="s">
        <v>64</v>
      </c>
      <c r="L16" s="195"/>
      <c r="M16" s="196" t="s">
        <v>8</v>
      </c>
      <c r="N16" s="197"/>
      <c r="O16" s="170" t="s">
        <v>9</v>
      </c>
      <c r="P16" s="203"/>
      <c r="Q16" s="205"/>
    </row>
    <row r="17" spans="1:17" ht="12.75" customHeight="1" thickBot="1" x14ac:dyDescent="0.25">
      <c r="A17" s="9"/>
      <c r="B17" s="151"/>
      <c r="C17" s="182"/>
      <c r="D17" s="133"/>
      <c r="E17" s="114" t="s">
        <v>42</v>
      </c>
      <c r="F17" s="99" t="s">
        <v>46</v>
      </c>
      <c r="G17" s="99" t="s">
        <v>42</v>
      </c>
      <c r="H17" s="99" t="s">
        <v>46</v>
      </c>
      <c r="I17" s="99" t="s">
        <v>42</v>
      </c>
      <c r="J17" s="99" t="s">
        <v>46</v>
      </c>
      <c r="K17" s="99" t="s">
        <v>42</v>
      </c>
      <c r="L17" s="99" t="s">
        <v>46</v>
      </c>
      <c r="M17" s="198"/>
      <c r="N17" s="199"/>
      <c r="O17" s="200"/>
      <c r="P17" s="203"/>
      <c r="Q17" s="205"/>
    </row>
    <row r="18" spans="1:17" ht="13.5" customHeight="1" x14ac:dyDescent="0.2">
      <c r="A18" s="13"/>
      <c r="B18" s="109" t="s">
        <v>47</v>
      </c>
      <c r="C18" s="110">
        <v>6</v>
      </c>
      <c r="D18" s="54">
        <v>24</v>
      </c>
      <c r="E18" s="105" t="s">
        <v>3</v>
      </c>
      <c r="F18" s="54">
        <v>150</v>
      </c>
      <c r="G18" s="115" t="s">
        <v>3</v>
      </c>
      <c r="H18" s="115">
        <v>100</v>
      </c>
      <c r="I18" s="115" t="s">
        <v>3</v>
      </c>
      <c r="J18" s="115">
        <v>200</v>
      </c>
      <c r="K18" s="30" t="s">
        <v>12</v>
      </c>
      <c r="L18" s="30">
        <v>300</v>
      </c>
      <c r="M18" s="115" t="s">
        <v>10</v>
      </c>
      <c r="N18" s="115" t="str">
        <f>CHOOSE(1*([1]Result!$C$2&gt;=[1]СКБД!$B$5)*([1]Result!$C$2&lt;=[1]СКБД!$C$5)+2*([1]Result!$C$2&gt;=[1]СКБД!$B$6)*([1]Result!$C$2&lt;=[1]СКБД!$C$6)+3*([1]Result!$C$2&gt;=[1]СКБД!$B$7)*([1]Result!$C$2&lt;=[1]СКБД!$C$7)+4*(([1]Result!$C$2&gt;=[1]СКБД!$B$8)*([1]Result!$C$2&lt;=[1]СКБД!$C$8))+5*(([1]Result!$C$2&gt;=[1]СКБД!$B$9)*([1]Result!$C$2&lt;=[1]СКБД!$C$9))+6*(([1]Result!$C$2&gt;=[1]СКБД!$B$10)*([1]Result!$C$2&lt;=[1]СКБД!$C$10))+7*(([1]Result!$C$2&gt;=[1]СКБД!$B$11)*([1]Result!$C$2&lt;=[1]СКБД!$C$11))+8*(([1]Result!$C$2&gt;=[1]СКБД!$B$12)*([1]Result!$C$2&lt;=[1]СКБД!$C$12)),[1]СКБД!$H$5,[1]СКБД!$H$6,[1]СКБД!$H$7,[1]СКБД!$H$8,[1]СКБД!$H$9,[1]СКБД!$H$10,[1]СКБД!$H$11,[1]СКБД!$H$12)</f>
        <v>&gt;=300</v>
      </c>
      <c r="O18" s="30">
        <f>CHOOSE(1*([1]Result!$C$2&gt;=[1]СКБД!$B$5)*([1]Result!$C$2&lt;=[1]СКБД!$C$5)+2*([1]Result!$C$2&gt;=[1]СКБД!$B$6)*([1]Result!$C$2&lt;=[1]СКБД!$C$6)+3*([1]Result!$C$2&gt;=[1]СКБД!$B$7)*([1]Result!$C$2&lt;=[1]СКБД!$C$7)+4*(([1]Result!$C$2&gt;=[1]СКБД!$B$8)*([1]Result!$C$2&lt;=[1]СКБД!$C$8))+5*(([1]Result!$C$2&gt;=[1]СКБД!$B$9)*([1]Result!$C$2&lt;=[1]СКБД!$C$9))+6*(([1]Result!$C$2&gt;=[1]СКБД!$B$10)*([1]Result!$C$2&lt;=[1]СКБД!$C$10))+7*(([1]Result!$C$2&gt;=[1]СКБД!$B$11)*([1]Result!$C$2&lt;=[1]СКБД!$C$11))+8*(([1]Result!$C$2&gt;=[1]СКБД!$B$12)*([1]Result!$C$2&lt;=[1]СКБД!$C$12)),[1]СКБД!$I$5,[1]СКБД!$I$6,[1]СКБД!$I$7,[1]СКБД!$I$8,[1]СКБД!$I$9,[1]СКБД!$I$10,[1]СКБД!$I$11,[1]СКБД!$I$12)</f>
        <v>5</v>
      </c>
      <c r="P18" s="30">
        <f>CHOOSE(1*([1]Result!$C$2&gt;=[1]СКБД!$B$5)*([1]Result!$C$2&lt;=[1]СКБД!$C$5)+2*([1]Result!$C$2&gt;=[1]СКБД!$B$6)*([1]Result!$C$2&lt;=[1]СКБД!$C$6)+3*([1]Result!$C$2&gt;=[1]СКБД!$B$7)*([1]Result!$C$2&lt;=[1]СКБД!$C$7)+4*(([1]Result!$C$2&gt;=[1]СКБД!$B$8)*([1]Result!$C$2&lt;=[1]СКБД!$C$8))+5*(([1]Result!$C$2&gt;=[1]СКБД!$B$9)*([1]Result!$C$2&lt;=[1]СКБД!$C$9))+6*(([1]Result!$C$2&gt;=[1]СКБД!$B$10)*([1]Result!$C$2&lt;=[1]СКБД!$C$10))+7*(([1]Result!$C$2&gt;=[1]СКБД!$B$11)*([1]Result!$C$2&lt;=[1]СКБД!$C$11))+8*(([1]Result!$C$2&gt;=[1]СКБД!$B$12)*([1]Result!$C$2&lt;=[1]СКБД!$C$12)),[1]СКБД!$J$5,[1]СКБД!$J$6,[1]СКБД!$J$7,[1]СКБД!$J$8,[1]СКБД!$J$9,[1]СКБД!$J$10,[1]СКБД!$J$11,[1]СКБД!$J$12)</f>
        <v>160</v>
      </c>
      <c r="Q18" s="111" t="s">
        <v>65</v>
      </c>
    </row>
    <row r="19" spans="1:17" ht="13.5" customHeight="1" thickBot="1" x14ac:dyDescent="0.25">
      <c r="A19" s="13"/>
      <c r="B19" s="112" t="s">
        <v>62</v>
      </c>
      <c r="C19" s="19">
        <v>2</v>
      </c>
      <c r="D19" s="20">
        <v>4</v>
      </c>
      <c r="E19" s="58" t="s">
        <v>3</v>
      </c>
      <c r="F19" s="22">
        <v>150</v>
      </c>
      <c r="G19" s="116"/>
      <c r="H19" s="116"/>
      <c r="I19" s="116"/>
      <c r="J19" s="116"/>
      <c r="K19" s="21"/>
      <c r="L19" s="21"/>
      <c r="M19" s="116"/>
      <c r="N19" s="116"/>
      <c r="O19" s="21"/>
      <c r="P19" s="21"/>
      <c r="Q19" s="113" t="s">
        <v>65</v>
      </c>
    </row>
    <row r="20" spans="1:17" ht="15.75" customHeight="1" x14ac:dyDescent="0.2">
      <c r="A20" s="13"/>
      <c r="B20" s="28"/>
      <c r="C20" s="9"/>
      <c r="D20" s="9"/>
      <c r="E20" s="103"/>
      <c r="K20" s="9"/>
      <c r="M20" s="9"/>
    </row>
    <row r="21" spans="1:17" ht="15.75" thickBot="1" x14ac:dyDescent="0.3">
      <c r="A21" s="9"/>
      <c r="B21" s="9"/>
      <c r="C21" s="9"/>
      <c r="D21" s="9"/>
      <c r="E21" s="10"/>
      <c r="F21" s="11"/>
      <c r="G21" s="9"/>
      <c r="H21" s="9"/>
      <c r="I21" s="9"/>
      <c r="J21" s="9"/>
      <c r="K21" s="9"/>
    </row>
    <row r="22" spans="1:17" ht="13.5" customHeight="1" x14ac:dyDescent="0.2">
      <c r="A22" s="14"/>
      <c r="B22" s="139" t="s">
        <v>51</v>
      </c>
      <c r="C22" s="140"/>
      <c r="D22" s="140"/>
      <c r="E22" s="140"/>
      <c r="F22" s="140"/>
      <c r="G22" s="140"/>
      <c r="H22" s="140"/>
      <c r="I22" s="140"/>
      <c r="J22" s="140"/>
      <c r="K22" s="141"/>
    </row>
    <row r="23" spans="1:17" ht="13.5" thickBot="1" x14ac:dyDescent="0.25">
      <c r="A23" s="13"/>
      <c r="B23" s="142"/>
      <c r="C23" s="143"/>
      <c r="D23" s="143"/>
      <c r="E23" s="143"/>
      <c r="F23" s="143"/>
      <c r="G23" s="143"/>
      <c r="H23" s="143"/>
      <c r="I23" s="143"/>
      <c r="J23" s="143"/>
      <c r="K23" s="144"/>
    </row>
    <row r="24" spans="1:17" x14ac:dyDescent="0.2">
      <c r="A24" s="13"/>
      <c r="B24" s="39" t="s">
        <v>13</v>
      </c>
      <c r="C24" s="40" t="s">
        <v>13</v>
      </c>
      <c r="D24" s="40" t="s">
        <v>13</v>
      </c>
      <c r="E24" s="40" t="s">
        <v>13</v>
      </c>
      <c r="F24" s="40" t="s">
        <v>13</v>
      </c>
      <c r="G24" s="40" t="s">
        <v>13</v>
      </c>
      <c r="H24" s="40" t="s">
        <v>13</v>
      </c>
      <c r="I24" s="40" t="s">
        <v>13</v>
      </c>
      <c r="J24" s="40" t="s">
        <v>13</v>
      </c>
      <c r="K24" s="41" t="s">
        <v>13</v>
      </c>
    </row>
    <row r="25" spans="1:17" ht="15" x14ac:dyDescent="0.25">
      <c r="A25" s="13"/>
      <c r="B25" s="208" t="s">
        <v>14</v>
      </c>
      <c r="C25" s="209"/>
      <c r="D25" s="209"/>
      <c r="E25" s="209"/>
      <c r="F25" s="9"/>
      <c r="G25" s="78" t="s">
        <v>52</v>
      </c>
      <c r="H25" s="79"/>
      <c r="I25" s="33" t="s">
        <v>15</v>
      </c>
      <c r="J25" s="33" t="s">
        <v>16</v>
      </c>
      <c r="K25" s="90" t="s">
        <v>53</v>
      </c>
      <c r="M25" s="48"/>
      <c r="N25" s="24"/>
      <c r="O25" s="25"/>
    </row>
    <row r="26" spans="1:17" ht="15" x14ac:dyDescent="0.25">
      <c r="A26" s="13"/>
      <c r="B26" s="206" t="s">
        <v>17</v>
      </c>
      <c r="C26" s="33" t="s">
        <v>49</v>
      </c>
      <c r="D26" s="33" t="s">
        <v>15</v>
      </c>
      <c r="E26" s="33" t="s">
        <v>16</v>
      </c>
      <c r="F26" s="9"/>
      <c r="G26" s="17" t="s">
        <v>55</v>
      </c>
      <c r="H26" s="17" t="s">
        <v>13</v>
      </c>
      <c r="I26" s="4"/>
      <c r="J26" s="4"/>
      <c r="K26" s="31"/>
      <c r="M26" s="24"/>
    </row>
    <row r="27" spans="1:17" x14ac:dyDescent="0.2">
      <c r="A27" s="13"/>
      <c r="B27" s="206"/>
      <c r="C27" s="17" t="s">
        <v>54</v>
      </c>
      <c r="D27" s="17">
        <v>0.8</v>
      </c>
      <c r="E27" s="17">
        <v>16.25</v>
      </c>
      <c r="F27" s="9"/>
      <c r="G27" s="17" t="s">
        <v>13</v>
      </c>
      <c r="H27" s="38" t="s">
        <v>18</v>
      </c>
      <c r="I27" s="17">
        <v>0.8</v>
      </c>
      <c r="J27" s="17">
        <v>16.25</v>
      </c>
      <c r="K27" s="18">
        <v>65</v>
      </c>
    </row>
    <row r="28" spans="1:17" x14ac:dyDescent="0.2">
      <c r="A28" s="13"/>
      <c r="B28" s="206"/>
      <c r="C28" s="38" t="s">
        <v>19</v>
      </c>
      <c r="D28" s="17">
        <v>0.6</v>
      </c>
      <c r="E28" s="17">
        <v>5</v>
      </c>
      <c r="F28" s="9"/>
      <c r="G28" s="17" t="s">
        <v>13</v>
      </c>
      <c r="H28" s="38" t="s">
        <v>20</v>
      </c>
      <c r="I28" s="17">
        <v>0.8</v>
      </c>
      <c r="J28" s="17">
        <v>16.25</v>
      </c>
      <c r="K28" s="18">
        <v>65</v>
      </c>
      <c r="L28" s="9"/>
    </row>
    <row r="29" spans="1:17" x14ac:dyDescent="0.2">
      <c r="A29" s="9"/>
      <c r="B29" s="206"/>
      <c r="C29" s="38" t="s">
        <v>56</v>
      </c>
      <c r="D29" s="17">
        <v>0.3</v>
      </c>
      <c r="E29" s="17">
        <v>4</v>
      </c>
      <c r="F29" s="9"/>
      <c r="G29" s="17" t="s">
        <v>19</v>
      </c>
      <c r="H29" s="17" t="s">
        <v>13</v>
      </c>
      <c r="I29" s="17" t="s">
        <v>13</v>
      </c>
      <c r="J29" s="17" t="s">
        <v>13</v>
      </c>
      <c r="K29" s="18" t="s">
        <v>13</v>
      </c>
      <c r="L29" s="9"/>
    </row>
    <row r="30" spans="1:17" x14ac:dyDescent="0.2">
      <c r="A30" s="13"/>
      <c r="B30" s="206"/>
      <c r="C30" s="17" t="s">
        <v>57</v>
      </c>
      <c r="D30" s="17">
        <v>0.06</v>
      </c>
      <c r="E30" s="17">
        <v>1.25</v>
      </c>
      <c r="F30" s="9"/>
      <c r="G30" s="17" t="s">
        <v>13</v>
      </c>
      <c r="H30" s="38" t="s">
        <v>21</v>
      </c>
      <c r="I30" s="17">
        <v>0.6</v>
      </c>
      <c r="J30" s="17">
        <v>5</v>
      </c>
      <c r="K30" s="18">
        <v>65</v>
      </c>
    </row>
    <row r="31" spans="1:17" x14ac:dyDescent="0.2">
      <c r="A31" s="13"/>
      <c r="B31" s="206"/>
      <c r="C31" s="38" t="s">
        <v>58</v>
      </c>
      <c r="D31" s="17">
        <v>0.01</v>
      </c>
      <c r="E31" s="17">
        <v>0.01</v>
      </c>
      <c r="F31" s="9"/>
      <c r="G31" s="17" t="s">
        <v>13</v>
      </c>
      <c r="H31" s="38" t="s">
        <v>20</v>
      </c>
      <c r="I31" s="17">
        <v>0.6</v>
      </c>
      <c r="J31" s="17">
        <v>5</v>
      </c>
      <c r="K31" s="18">
        <v>65</v>
      </c>
    </row>
    <row r="32" spans="1:17" x14ac:dyDescent="0.2">
      <c r="A32" s="13"/>
      <c r="B32" s="206"/>
      <c r="C32" s="38" t="s">
        <v>22</v>
      </c>
      <c r="D32" s="17">
        <v>0.1</v>
      </c>
      <c r="E32" s="17">
        <v>0.5</v>
      </c>
      <c r="F32" s="9"/>
      <c r="G32" s="38" t="s">
        <v>56</v>
      </c>
      <c r="H32" s="17" t="s">
        <v>13</v>
      </c>
      <c r="I32" s="17" t="s">
        <v>13</v>
      </c>
      <c r="J32" s="17"/>
      <c r="K32" s="18" t="s">
        <v>13</v>
      </c>
    </row>
    <row r="33" spans="1:16" x14ac:dyDescent="0.2">
      <c r="A33" s="13"/>
      <c r="B33" s="206"/>
      <c r="C33" s="17" t="s">
        <v>23</v>
      </c>
      <c r="D33" s="17">
        <v>1</v>
      </c>
      <c r="E33" s="17">
        <v>2</v>
      </c>
      <c r="F33" s="9"/>
      <c r="G33" s="17" t="s">
        <v>13</v>
      </c>
      <c r="H33" s="17" t="s">
        <v>21</v>
      </c>
      <c r="I33" s="17">
        <v>0.3</v>
      </c>
      <c r="J33" s="17">
        <v>4</v>
      </c>
      <c r="K33" s="18">
        <v>65</v>
      </c>
    </row>
    <row r="34" spans="1:16" x14ac:dyDescent="0.2">
      <c r="A34" s="13"/>
      <c r="B34" s="206"/>
      <c r="C34" s="17" t="s">
        <v>24</v>
      </c>
      <c r="D34" s="17">
        <v>0.25</v>
      </c>
      <c r="E34" s="17">
        <v>0.25</v>
      </c>
      <c r="F34" s="9"/>
      <c r="G34" s="17" t="s">
        <v>13</v>
      </c>
      <c r="H34" s="38" t="s">
        <v>20</v>
      </c>
      <c r="I34" s="17">
        <v>0.3</v>
      </c>
      <c r="J34" s="17">
        <v>4</v>
      </c>
      <c r="K34" s="18">
        <v>65</v>
      </c>
    </row>
    <row r="35" spans="1:16" x14ac:dyDescent="0.2">
      <c r="A35" s="13"/>
      <c r="B35" s="206"/>
      <c r="C35" s="17" t="s">
        <v>25</v>
      </c>
      <c r="D35" s="17">
        <v>1</v>
      </c>
      <c r="E35" s="17">
        <v>4</v>
      </c>
      <c r="F35" s="9"/>
      <c r="G35" s="38" t="s">
        <v>57</v>
      </c>
      <c r="H35" s="17" t="s">
        <v>13</v>
      </c>
      <c r="I35" s="17" t="s">
        <v>13</v>
      </c>
      <c r="J35" s="17" t="s">
        <v>13</v>
      </c>
      <c r="K35" s="18" t="s">
        <v>13</v>
      </c>
      <c r="P35" s="15"/>
    </row>
    <row r="36" spans="1:16" x14ac:dyDescent="0.2">
      <c r="A36" s="13"/>
      <c r="B36" s="206"/>
      <c r="C36" s="38"/>
      <c r="D36" s="17"/>
      <c r="E36" s="17"/>
      <c r="F36" s="9"/>
      <c r="G36" s="38"/>
      <c r="H36" s="38" t="s">
        <v>18</v>
      </c>
      <c r="I36" s="17">
        <v>0.06</v>
      </c>
      <c r="J36" s="17">
        <v>1.25</v>
      </c>
      <c r="K36" s="18">
        <v>5</v>
      </c>
    </row>
    <row r="37" spans="1:16" x14ac:dyDescent="0.2">
      <c r="A37" s="13"/>
      <c r="B37" s="206"/>
      <c r="C37" s="34" t="s">
        <v>2</v>
      </c>
      <c r="D37" s="17">
        <v>2</v>
      </c>
      <c r="E37" s="17">
        <v>2</v>
      </c>
      <c r="F37" s="9"/>
      <c r="G37" s="17" t="s">
        <v>13</v>
      </c>
      <c r="H37" s="38" t="s">
        <v>20</v>
      </c>
      <c r="I37" s="17">
        <v>0.06</v>
      </c>
      <c r="J37" s="17">
        <v>1.25</v>
      </c>
      <c r="K37" s="18">
        <v>5</v>
      </c>
    </row>
    <row r="38" spans="1:16" x14ac:dyDescent="0.2">
      <c r="A38" s="13"/>
      <c r="B38" s="42" t="s">
        <v>50</v>
      </c>
      <c r="C38" s="35" t="s">
        <v>13</v>
      </c>
      <c r="D38" s="35">
        <f>SUM(D27:D37)</f>
        <v>6.12</v>
      </c>
      <c r="E38" s="35">
        <f>SUM(E27:E37)</f>
        <v>35.260000000000005</v>
      </c>
      <c r="F38" s="9"/>
      <c r="G38" s="17" t="s">
        <v>27</v>
      </c>
      <c r="H38" s="17" t="s">
        <v>13</v>
      </c>
      <c r="I38" s="17" t="s">
        <v>13</v>
      </c>
      <c r="J38" s="17" t="s">
        <v>13</v>
      </c>
      <c r="K38" s="31"/>
    </row>
    <row r="39" spans="1:16" ht="15" x14ac:dyDescent="0.25">
      <c r="A39" s="9"/>
      <c r="B39" s="206" t="s">
        <v>28</v>
      </c>
      <c r="C39" s="92" t="s">
        <v>49</v>
      </c>
      <c r="D39" s="92" t="s">
        <v>15</v>
      </c>
      <c r="E39" s="92" t="s">
        <v>16</v>
      </c>
      <c r="F39" s="9"/>
      <c r="G39" s="17" t="s">
        <v>13</v>
      </c>
      <c r="H39" s="38" t="s">
        <v>18</v>
      </c>
      <c r="I39" s="17">
        <v>0.02</v>
      </c>
      <c r="J39" s="17">
        <v>0.45</v>
      </c>
      <c r="K39" s="18">
        <v>5</v>
      </c>
    </row>
    <row r="40" spans="1:16" x14ac:dyDescent="0.2">
      <c r="A40" s="9"/>
      <c r="B40" s="206"/>
      <c r="C40" s="17" t="s">
        <v>54</v>
      </c>
      <c r="D40" s="17">
        <v>0.8</v>
      </c>
      <c r="E40" s="17">
        <v>16.25</v>
      </c>
      <c r="F40" s="9"/>
      <c r="G40" s="38" t="s">
        <v>58</v>
      </c>
      <c r="H40" s="17" t="s">
        <v>13</v>
      </c>
      <c r="I40" s="17" t="s">
        <v>13</v>
      </c>
      <c r="J40" s="17" t="s">
        <v>13</v>
      </c>
      <c r="K40" s="18"/>
    </row>
    <row r="41" spans="1:16" x14ac:dyDescent="0.2">
      <c r="A41" s="9"/>
      <c r="B41" s="206"/>
      <c r="C41" s="38" t="s">
        <v>19</v>
      </c>
      <c r="D41" s="17">
        <v>0.6</v>
      </c>
      <c r="E41" s="17">
        <v>5</v>
      </c>
      <c r="F41" s="9"/>
      <c r="G41" s="17" t="s">
        <v>13</v>
      </c>
      <c r="H41" s="38" t="s">
        <v>18</v>
      </c>
      <c r="I41" s="17">
        <v>0.01</v>
      </c>
      <c r="J41" s="17">
        <v>0.01</v>
      </c>
      <c r="K41" s="18" t="s">
        <v>13</v>
      </c>
    </row>
    <row r="42" spans="1:16" x14ac:dyDescent="0.2">
      <c r="A42" s="9"/>
      <c r="B42" s="206"/>
      <c r="C42" s="38" t="s">
        <v>56</v>
      </c>
      <c r="D42" s="17">
        <v>0.3</v>
      </c>
      <c r="E42" s="17">
        <v>4</v>
      </c>
      <c r="F42" s="9"/>
      <c r="G42" s="17" t="s">
        <v>13</v>
      </c>
      <c r="H42" s="38" t="s">
        <v>20</v>
      </c>
      <c r="I42" s="17">
        <v>0.01</v>
      </c>
      <c r="J42" s="17">
        <v>0.01</v>
      </c>
      <c r="K42" s="18"/>
      <c r="P42" s="15"/>
    </row>
    <row r="43" spans="1:16" x14ac:dyDescent="0.2">
      <c r="A43" s="9"/>
      <c r="B43" s="206"/>
      <c r="C43" s="17" t="s">
        <v>57</v>
      </c>
      <c r="D43" s="17">
        <v>0.06</v>
      </c>
      <c r="E43" s="17">
        <v>1.25</v>
      </c>
      <c r="F43" s="9"/>
      <c r="G43" s="38" t="s">
        <v>29</v>
      </c>
      <c r="H43" s="17" t="s">
        <v>13</v>
      </c>
      <c r="I43" s="17" t="s">
        <v>13</v>
      </c>
      <c r="J43" s="17" t="s">
        <v>13</v>
      </c>
      <c r="K43" s="18"/>
    </row>
    <row r="44" spans="1:16" x14ac:dyDescent="0.2">
      <c r="A44" s="9"/>
      <c r="B44" s="206"/>
      <c r="C44" s="17" t="s">
        <v>30</v>
      </c>
      <c r="D44" s="17">
        <v>0.02</v>
      </c>
      <c r="E44" s="17">
        <v>0.45</v>
      </c>
      <c r="F44" s="9"/>
      <c r="G44" s="17" t="s">
        <v>13</v>
      </c>
      <c r="H44" s="38" t="s">
        <v>18</v>
      </c>
      <c r="I44" s="17">
        <v>0.1</v>
      </c>
      <c r="J44" s="17">
        <v>0.5</v>
      </c>
      <c r="K44" s="18" t="s">
        <v>13</v>
      </c>
      <c r="O44" s="15"/>
    </row>
    <row r="45" spans="1:16" x14ac:dyDescent="0.2">
      <c r="A45" s="9"/>
      <c r="B45" s="206"/>
      <c r="C45" s="38" t="s">
        <v>58</v>
      </c>
      <c r="D45" s="17">
        <v>0.01</v>
      </c>
      <c r="E45" s="17">
        <v>0.01</v>
      </c>
      <c r="F45" s="9"/>
      <c r="G45" s="17" t="s">
        <v>13</v>
      </c>
      <c r="H45" s="38" t="s">
        <v>20</v>
      </c>
      <c r="I45" s="17">
        <v>0.1</v>
      </c>
      <c r="J45" s="17">
        <v>0.5</v>
      </c>
      <c r="K45" s="18"/>
    </row>
    <row r="46" spans="1:16" x14ac:dyDescent="0.2">
      <c r="A46" s="9"/>
      <c r="B46" s="206"/>
      <c r="C46" s="38" t="s">
        <v>22</v>
      </c>
      <c r="D46" s="17">
        <v>0.1</v>
      </c>
      <c r="E46" s="17">
        <v>0.5</v>
      </c>
      <c r="F46" s="9"/>
      <c r="G46" s="17" t="s">
        <v>23</v>
      </c>
      <c r="H46" s="38"/>
      <c r="I46" s="17"/>
      <c r="J46" s="17"/>
      <c r="K46" s="18"/>
      <c r="O46" s="15"/>
    </row>
    <row r="47" spans="1:16" x14ac:dyDescent="0.2">
      <c r="A47" s="9"/>
      <c r="B47" s="206"/>
      <c r="C47" s="17" t="s">
        <v>25</v>
      </c>
      <c r="D47" s="17">
        <v>1</v>
      </c>
      <c r="E47" s="17">
        <v>4</v>
      </c>
      <c r="F47" s="9"/>
      <c r="G47" s="17"/>
      <c r="H47" s="17" t="s">
        <v>18</v>
      </c>
      <c r="I47" s="17">
        <v>1</v>
      </c>
      <c r="J47" s="17">
        <v>2</v>
      </c>
      <c r="K47" s="18"/>
    </row>
    <row r="48" spans="1:16" x14ac:dyDescent="0.2">
      <c r="A48" s="9"/>
      <c r="B48" s="206"/>
      <c r="C48" s="17" t="s">
        <v>23</v>
      </c>
      <c r="D48" s="17">
        <v>0.5</v>
      </c>
      <c r="E48" s="17">
        <v>1</v>
      </c>
      <c r="F48" s="9"/>
      <c r="G48" s="17"/>
      <c r="H48" s="38"/>
      <c r="I48" s="17"/>
      <c r="J48" s="17"/>
      <c r="K48" s="18" t="s">
        <v>13</v>
      </c>
    </row>
    <row r="49" spans="1:11" x14ac:dyDescent="0.2">
      <c r="A49" s="14"/>
      <c r="B49" s="206"/>
      <c r="C49" s="38"/>
      <c r="D49" s="17"/>
      <c r="E49" s="17"/>
      <c r="F49" s="9"/>
      <c r="G49" s="17" t="s">
        <v>25</v>
      </c>
      <c r="H49" s="17" t="s">
        <v>13</v>
      </c>
      <c r="I49" s="17" t="s">
        <v>13</v>
      </c>
      <c r="J49" s="17" t="s">
        <v>13</v>
      </c>
      <c r="K49" s="18"/>
    </row>
    <row r="50" spans="1:11" x14ac:dyDescent="0.2">
      <c r="A50" s="9"/>
      <c r="B50" s="206"/>
      <c r="C50" s="34" t="s">
        <v>2</v>
      </c>
      <c r="D50" s="17">
        <v>2</v>
      </c>
      <c r="E50" s="17">
        <v>2</v>
      </c>
      <c r="F50" s="9"/>
      <c r="G50" s="17" t="s">
        <v>13</v>
      </c>
      <c r="H50" s="38" t="s">
        <v>18</v>
      </c>
      <c r="I50" s="17">
        <v>1</v>
      </c>
      <c r="J50" s="17">
        <v>4</v>
      </c>
      <c r="K50" s="18"/>
    </row>
    <row r="51" spans="1:11" x14ac:dyDescent="0.2">
      <c r="A51" s="9"/>
      <c r="B51" s="42" t="s">
        <v>50</v>
      </c>
      <c r="C51" s="35" t="s">
        <v>13</v>
      </c>
      <c r="D51" s="35">
        <f>SUM(D40:D50)</f>
        <v>5.3900000000000006</v>
      </c>
      <c r="E51" s="35">
        <f>SUM(E40:E50)</f>
        <v>34.46</v>
      </c>
      <c r="G51" s="17" t="s">
        <v>24</v>
      </c>
      <c r="H51" s="17" t="s">
        <v>13</v>
      </c>
      <c r="I51" s="17" t="s">
        <v>13</v>
      </c>
      <c r="J51" s="17" t="s">
        <v>13</v>
      </c>
      <c r="K51" s="18" t="s">
        <v>13</v>
      </c>
    </row>
    <row r="52" spans="1:11" ht="15" x14ac:dyDescent="0.25">
      <c r="A52" s="9"/>
      <c r="B52" s="207" t="s">
        <v>31</v>
      </c>
      <c r="C52" s="93"/>
      <c r="D52" s="92" t="s">
        <v>15</v>
      </c>
      <c r="E52" s="92" t="s">
        <v>16</v>
      </c>
      <c r="G52" s="38" t="s">
        <v>13</v>
      </c>
      <c r="H52" s="38" t="s">
        <v>18</v>
      </c>
      <c r="I52" s="17">
        <v>0.25</v>
      </c>
      <c r="J52" s="17">
        <v>0.25</v>
      </c>
      <c r="K52" s="18" t="s">
        <v>13</v>
      </c>
    </row>
    <row r="53" spans="1:11" x14ac:dyDescent="0.2">
      <c r="A53" s="9"/>
      <c r="B53" s="207"/>
      <c r="C53" s="91" t="s">
        <v>32</v>
      </c>
      <c r="D53" s="4">
        <v>2</v>
      </c>
      <c r="E53" s="4">
        <v>4</v>
      </c>
      <c r="G53" s="28" t="s">
        <v>13</v>
      </c>
      <c r="H53" s="28"/>
      <c r="I53" s="9"/>
      <c r="J53" s="9"/>
      <c r="K53" s="117"/>
    </row>
    <row r="54" spans="1:11" ht="13.5" thickBot="1" x14ac:dyDescent="0.25">
      <c r="A54" s="9"/>
      <c r="B54" s="82" t="s">
        <v>50</v>
      </c>
      <c r="C54" s="97" t="s">
        <v>13</v>
      </c>
      <c r="D54" s="98">
        <f>SUM(D53)</f>
        <v>2</v>
      </c>
      <c r="E54" s="98">
        <f>SUM(E53)</f>
        <v>4</v>
      </c>
      <c r="F54" s="46"/>
      <c r="G54" s="118"/>
      <c r="H54" s="46"/>
      <c r="I54" s="46"/>
      <c r="J54" s="46"/>
      <c r="K54" s="119"/>
    </row>
    <row r="55" spans="1:11" ht="13.5" customHeight="1" x14ac:dyDescent="0.25">
      <c r="A55" s="9"/>
      <c r="B55" s="102"/>
      <c r="D55" s="100"/>
      <c r="E55" s="100"/>
      <c r="K55" s="9"/>
    </row>
    <row r="56" spans="1:11" x14ac:dyDescent="0.2">
      <c r="B56" s="102"/>
      <c r="C56" s="101"/>
    </row>
    <row r="57" spans="1:11" x14ac:dyDescent="0.2">
      <c r="B57" s="9"/>
      <c r="C57" s="9"/>
    </row>
  </sheetData>
  <mergeCells count="24">
    <mergeCell ref="D8:D9"/>
    <mergeCell ref="P15:P17"/>
    <mergeCell ref="Q15:Q17"/>
    <mergeCell ref="B39:B50"/>
    <mergeCell ref="B52:B53"/>
    <mergeCell ref="B22:K23"/>
    <mergeCell ref="B25:E25"/>
    <mergeCell ref="B26:B37"/>
    <mergeCell ref="B4:Q5"/>
    <mergeCell ref="B15:B17"/>
    <mergeCell ref="C15:C17"/>
    <mergeCell ref="D15:D17"/>
    <mergeCell ref="E16:F16"/>
    <mergeCell ref="G16:H16"/>
    <mergeCell ref="E15:O15"/>
    <mergeCell ref="I16:J16"/>
    <mergeCell ref="H8:H9"/>
    <mergeCell ref="B8:B9"/>
    <mergeCell ref="C8:C9"/>
    <mergeCell ref="E8:F8"/>
    <mergeCell ref="G8:G9"/>
    <mergeCell ref="K16:L16"/>
    <mergeCell ref="M16:N17"/>
    <mergeCell ref="O16:O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X71"/>
  <sheetViews>
    <sheetView topLeftCell="A16" zoomScale="70" zoomScaleNormal="70" workbookViewId="0">
      <selection activeCell="J41" sqref="J41:K42"/>
    </sheetView>
  </sheetViews>
  <sheetFormatPr defaultColWidth="12.5703125" defaultRowHeight="15.75" customHeight="1" x14ac:dyDescent="0.2"/>
  <cols>
    <col min="1" max="1" width="11" customWidth="1"/>
    <col min="2" max="2" width="42.42578125" customWidth="1"/>
    <col min="3" max="3" width="27.140625" bestFit="1" customWidth="1"/>
    <col min="4" max="4" width="15.28515625" customWidth="1"/>
    <col min="5" max="5" width="17.85546875" customWidth="1"/>
    <col min="6" max="6" width="16.140625" bestFit="1" customWidth="1"/>
    <col min="7" max="7" width="21.5703125" customWidth="1"/>
    <col min="8" max="8" width="27.140625" customWidth="1"/>
    <col min="12" max="12" width="15" bestFit="1" customWidth="1"/>
    <col min="13" max="13" width="18" customWidth="1"/>
    <col min="14" max="14" width="16.5703125" customWidth="1"/>
    <col min="19" max="19" width="17.42578125" customWidth="1"/>
    <col min="20" max="20" width="16.28515625" customWidth="1"/>
  </cols>
  <sheetData>
    <row r="2" spans="2:23" ht="15.75" customHeight="1" thickBot="1" x14ac:dyDescent="0.25"/>
    <row r="3" spans="2:23" ht="15.75" customHeight="1" x14ac:dyDescent="0.2">
      <c r="B3" s="139" t="s">
        <v>38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1"/>
    </row>
    <row r="4" spans="2:23" ht="15.75" customHeight="1" thickBot="1" x14ac:dyDescent="0.25"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4"/>
    </row>
    <row r="5" spans="2:23" ht="15.75" customHeight="1" x14ac:dyDescent="0.2">
      <c r="B5" s="65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6"/>
    </row>
    <row r="6" spans="2:23" ht="15.75" customHeight="1" thickBot="1" x14ac:dyDescent="0.25">
      <c r="B6" s="67" t="s">
        <v>40</v>
      </c>
      <c r="N6" s="43"/>
    </row>
    <row r="7" spans="2:23" ht="15.75" customHeight="1" x14ac:dyDescent="0.2">
      <c r="B7" s="152" t="s">
        <v>0</v>
      </c>
      <c r="C7" s="145" t="s">
        <v>41</v>
      </c>
      <c r="D7" s="147" t="s">
        <v>45</v>
      </c>
      <c r="E7" s="149" t="s">
        <v>1</v>
      </c>
      <c r="F7" s="150"/>
      <c r="G7" s="132" t="s">
        <v>43</v>
      </c>
      <c r="H7" s="132" t="s">
        <v>2</v>
      </c>
      <c r="N7" s="43"/>
    </row>
    <row r="8" spans="2:23" ht="15.75" customHeight="1" thickBot="1" x14ac:dyDescent="0.25">
      <c r="B8" s="146"/>
      <c r="C8" s="146"/>
      <c r="D8" s="148"/>
      <c r="E8" s="51" t="s">
        <v>42</v>
      </c>
      <c r="F8" s="52" t="s">
        <v>46</v>
      </c>
      <c r="G8" s="151"/>
      <c r="H8" s="133"/>
      <c r="N8" s="43"/>
    </row>
    <row r="9" spans="2:23" ht="12.75" x14ac:dyDescent="0.2">
      <c r="B9" s="53" t="s">
        <v>44</v>
      </c>
      <c r="C9" s="54">
        <v>4</v>
      </c>
      <c r="D9" s="54">
        <v>17</v>
      </c>
      <c r="E9" s="55" t="s">
        <v>3</v>
      </c>
      <c r="F9" s="30">
        <v>150</v>
      </c>
      <c r="G9" s="54">
        <v>3</v>
      </c>
      <c r="H9" s="56" t="s">
        <v>66</v>
      </c>
      <c r="I9" s="28"/>
      <c r="N9" s="43"/>
    </row>
    <row r="10" spans="2:23" ht="15.75" customHeight="1" thickBot="1" x14ac:dyDescent="0.25">
      <c r="B10" s="57" t="s">
        <v>4</v>
      </c>
      <c r="C10" s="22">
        <v>2</v>
      </c>
      <c r="D10" s="22">
        <v>2</v>
      </c>
      <c r="E10" s="58" t="s">
        <v>3</v>
      </c>
      <c r="F10" s="22">
        <v>100</v>
      </c>
      <c r="G10" s="22">
        <v>1</v>
      </c>
      <c r="H10" s="59" t="s">
        <v>66</v>
      </c>
      <c r="N10" s="43"/>
    </row>
    <row r="11" spans="2:23" ht="15.75" customHeight="1" x14ac:dyDescent="0.2">
      <c r="B11" s="44"/>
      <c r="N11" s="43"/>
    </row>
    <row r="12" spans="2:23" ht="15.75" customHeight="1" thickBot="1" x14ac:dyDescent="0.25">
      <c r="B12" s="49" t="s">
        <v>39</v>
      </c>
      <c r="N12" s="43"/>
    </row>
    <row r="13" spans="2:23" ht="15.75" customHeight="1" x14ac:dyDescent="0.2">
      <c r="B13" s="135" t="s">
        <v>0</v>
      </c>
      <c r="C13" s="156" t="s">
        <v>41</v>
      </c>
      <c r="D13" s="158" t="s">
        <v>45</v>
      </c>
      <c r="E13" s="160" t="s">
        <v>1</v>
      </c>
      <c r="F13" s="161"/>
      <c r="G13" s="161"/>
      <c r="H13" s="161"/>
      <c r="I13" s="161"/>
      <c r="J13" s="161"/>
      <c r="K13" s="161"/>
      <c r="L13" s="161"/>
      <c r="M13" s="162"/>
      <c r="N13" s="132" t="s">
        <v>2</v>
      </c>
    </row>
    <row r="14" spans="2:23" ht="15.75" customHeight="1" x14ac:dyDescent="0.2">
      <c r="B14" s="155"/>
      <c r="C14" s="157"/>
      <c r="D14" s="159"/>
      <c r="E14" s="163" t="s">
        <v>2</v>
      </c>
      <c r="F14" s="164"/>
      <c r="G14" s="165" t="s">
        <v>6</v>
      </c>
      <c r="H14" s="165"/>
      <c r="I14" s="166" t="s">
        <v>7</v>
      </c>
      <c r="J14" s="166"/>
      <c r="K14" s="167" t="s">
        <v>8</v>
      </c>
      <c r="L14" s="167"/>
      <c r="M14" s="169" t="s">
        <v>9</v>
      </c>
      <c r="N14" s="133"/>
    </row>
    <row r="15" spans="2:23" ht="15.75" customHeight="1" thickBot="1" x14ac:dyDescent="0.25">
      <c r="B15" s="155"/>
      <c r="C15" s="157"/>
      <c r="D15" s="159"/>
      <c r="E15" s="51" t="s">
        <v>42</v>
      </c>
      <c r="F15" s="61" t="s">
        <v>46</v>
      </c>
      <c r="G15" s="61" t="s">
        <v>42</v>
      </c>
      <c r="H15" s="61" t="s">
        <v>46</v>
      </c>
      <c r="I15" s="61" t="s">
        <v>42</v>
      </c>
      <c r="J15" s="61" t="s">
        <v>46</v>
      </c>
      <c r="K15" s="168"/>
      <c r="L15" s="168"/>
      <c r="M15" s="170"/>
      <c r="N15" s="133"/>
    </row>
    <row r="16" spans="2:23" ht="15.75" customHeight="1" x14ac:dyDescent="0.25">
      <c r="B16" s="29" t="s">
        <v>47</v>
      </c>
      <c r="C16" s="30">
        <v>4</v>
      </c>
      <c r="D16" s="30">
        <v>12</v>
      </c>
      <c r="E16" s="30" t="s">
        <v>3</v>
      </c>
      <c r="F16" s="30">
        <v>150</v>
      </c>
      <c r="G16" s="37" t="s">
        <v>3</v>
      </c>
      <c r="H16" s="37">
        <v>100</v>
      </c>
      <c r="I16" s="37" t="s">
        <v>3</v>
      </c>
      <c r="J16" s="37">
        <v>200</v>
      </c>
      <c r="K16" s="37" t="s">
        <v>10</v>
      </c>
      <c r="L16" s="37" t="s">
        <v>11</v>
      </c>
      <c r="M16" s="54">
        <v>5</v>
      </c>
      <c r="N16" s="62" t="s">
        <v>65</v>
      </c>
      <c r="U16" s="24"/>
      <c r="V16" s="24"/>
      <c r="W16" s="25"/>
    </row>
    <row r="17" spans="2:24" ht="15.75" customHeight="1" thickBot="1" x14ac:dyDescent="0.25">
      <c r="B17" s="63" t="s">
        <v>59</v>
      </c>
      <c r="C17" s="21">
        <v>2</v>
      </c>
      <c r="D17" s="21">
        <v>6</v>
      </c>
      <c r="E17" s="21" t="s">
        <v>3</v>
      </c>
      <c r="F17" s="21">
        <v>150</v>
      </c>
      <c r="G17" s="21"/>
      <c r="H17" s="21"/>
      <c r="I17" s="21"/>
      <c r="J17" s="21"/>
      <c r="K17" s="16" t="s">
        <v>10</v>
      </c>
      <c r="L17" s="16" t="s">
        <v>11</v>
      </c>
      <c r="M17" s="22">
        <v>10</v>
      </c>
      <c r="N17" s="64" t="s">
        <v>65</v>
      </c>
      <c r="T17" s="25"/>
    </row>
    <row r="18" spans="2:24" ht="15.75" customHeight="1" thickBot="1" x14ac:dyDescent="0.25">
      <c r="B18" s="45" t="s">
        <v>60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68"/>
    </row>
    <row r="19" spans="2:24" ht="15.75" customHeight="1" x14ac:dyDescent="0.2">
      <c r="T19" s="25"/>
    </row>
    <row r="20" spans="2:24" ht="15.75" customHeight="1" thickBot="1" x14ac:dyDescent="0.25"/>
    <row r="21" spans="2:24" ht="15.75" customHeight="1" x14ac:dyDescent="0.2">
      <c r="B21" s="171" t="s">
        <v>51</v>
      </c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3"/>
    </row>
    <row r="22" spans="2:24" ht="15.75" customHeight="1" thickBot="1" x14ac:dyDescent="0.25">
      <c r="B22" s="174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6"/>
    </row>
    <row r="23" spans="2:24" ht="15.75" customHeight="1" x14ac:dyDescent="0.2">
      <c r="B23" s="65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131"/>
      <c r="U23" s="60"/>
      <c r="V23" s="60"/>
      <c r="W23" s="60"/>
      <c r="X23" s="66"/>
    </row>
    <row r="24" spans="2:24" ht="15.75" customHeight="1" thickBot="1" x14ac:dyDescent="0.25">
      <c r="B24" s="177" t="s">
        <v>14</v>
      </c>
      <c r="C24" s="167"/>
      <c r="D24" s="167"/>
      <c r="E24" s="167"/>
      <c r="F24" s="167"/>
      <c r="X24" s="43"/>
    </row>
    <row r="25" spans="2:24" ht="15.75" customHeight="1" x14ac:dyDescent="0.25">
      <c r="B25" s="134" t="s">
        <v>17</v>
      </c>
      <c r="C25" s="70" t="s">
        <v>49</v>
      </c>
      <c r="D25" s="33" t="s">
        <v>15</v>
      </c>
      <c r="E25" s="33" t="s">
        <v>16</v>
      </c>
      <c r="F25" s="69"/>
      <c r="H25" s="135" t="s">
        <v>33</v>
      </c>
      <c r="L25" t="s">
        <v>48</v>
      </c>
      <c r="N25" s="178" t="s">
        <v>34</v>
      </c>
      <c r="R25" t="s">
        <v>48</v>
      </c>
      <c r="T25" s="135" t="s">
        <v>67</v>
      </c>
      <c r="X25" s="43" t="s">
        <v>48</v>
      </c>
    </row>
    <row r="26" spans="2:24" ht="15.75" customHeight="1" thickBot="1" x14ac:dyDescent="0.3">
      <c r="B26" s="134"/>
      <c r="C26" s="17" t="s">
        <v>54</v>
      </c>
      <c r="D26" s="8">
        <v>0.3</v>
      </c>
      <c r="E26" s="8">
        <v>6.25</v>
      </c>
      <c r="F26" s="36" t="s">
        <v>33</v>
      </c>
      <c r="H26" s="136"/>
      <c r="I26" s="137" t="s">
        <v>37</v>
      </c>
      <c r="J26" s="138"/>
      <c r="K26" s="138"/>
      <c r="L26" s="121">
        <v>10</v>
      </c>
      <c r="N26" s="179"/>
      <c r="O26" s="138" t="s">
        <v>37</v>
      </c>
      <c r="P26" s="138"/>
      <c r="Q26" s="138"/>
      <c r="R26" s="121">
        <v>10</v>
      </c>
      <c r="T26" s="136"/>
      <c r="U26" s="137" t="s">
        <v>37</v>
      </c>
      <c r="V26" s="138"/>
      <c r="W26" s="138"/>
      <c r="X26" s="89">
        <v>10</v>
      </c>
    </row>
    <row r="27" spans="2:24" ht="15.75" customHeight="1" x14ac:dyDescent="0.25">
      <c r="B27" s="134"/>
      <c r="C27" s="73" t="s">
        <v>35</v>
      </c>
      <c r="D27" s="4">
        <v>0.1</v>
      </c>
      <c r="E27" s="4">
        <v>0.1</v>
      </c>
      <c r="F27" s="36" t="s">
        <v>33</v>
      </c>
      <c r="X27" s="43"/>
    </row>
    <row r="28" spans="2:24" ht="15.75" customHeight="1" x14ac:dyDescent="0.25">
      <c r="B28" s="134"/>
      <c r="C28" s="73" t="s">
        <v>19</v>
      </c>
      <c r="D28" s="4">
        <v>0.2</v>
      </c>
      <c r="E28" s="4">
        <v>1.8</v>
      </c>
      <c r="F28" s="36" t="s">
        <v>33</v>
      </c>
      <c r="H28" s="78" t="s">
        <v>52</v>
      </c>
      <c r="I28" s="79"/>
      <c r="J28" s="33" t="s">
        <v>15</v>
      </c>
      <c r="K28" s="33" t="s">
        <v>16</v>
      </c>
      <c r="L28" s="80" t="s">
        <v>53</v>
      </c>
      <c r="N28" s="78" t="s">
        <v>52</v>
      </c>
      <c r="O28" s="79"/>
      <c r="P28" s="33" t="s">
        <v>15</v>
      </c>
      <c r="Q28" s="86" t="s">
        <v>16</v>
      </c>
      <c r="R28" s="122" t="s">
        <v>53</v>
      </c>
      <c r="S28" s="127"/>
      <c r="T28" s="125" t="s">
        <v>52</v>
      </c>
      <c r="U28" s="79"/>
      <c r="V28" s="33" t="s">
        <v>15</v>
      </c>
      <c r="W28" s="33" t="s">
        <v>16</v>
      </c>
      <c r="X28" s="90" t="s">
        <v>53</v>
      </c>
    </row>
    <row r="29" spans="2:24" ht="15.75" customHeight="1" x14ac:dyDescent="0.25">
      <c r="B29" s="134"/>
      <c r="C29" s="38" t="s">
        <v>56</v>
      </c>
      <c r="D29" s="4">
        <v>0.2</v>
      </c>
      <c r="E29" s="4">
        <v>1.8</v>
      </c>
      <c r="F29" s="36" t="s">
        <v>33</v>
      </c>
      <c r="H29" s="4" t="s">
        <v>54</v>
      </c>
      <c r="I29" s="4"/>
      <c r="J29" s="4"/>
      <c r="K29" s="4"/>
      <c r="L29" s="4"/>
      <c r="N29" s="4" t="s">
        <v>54</v>
      </c>
      <c r="O29" s="4"/>
      <c r="P29" s="81"/>
      <c r="Q29" s="87"/>
      <c r="R29" s="123"/>
      <c r="S29" s="127"/>
      <c r="T29" s="73" t="s">
        <v>54</v>
      </c>
      <c r="U29" s="4"/>
      <c r="V29" s="4"/>
      <c r="W29" s="4"/>
      <c r="X29" s="31"/>
    </row>
    <row r="30" spans="2:24" ht="15.75" customHeight="1" x14ac:dyDescent="0.25">
      <c r="B30" s="134"/>
      <c r="C30" s="17" t="s">
        <v>57</v>
      </c>
      <c r="D30" s="4">
        <v>0.06</v>
      </c>
      <c r="E30" s="4">
        <v>1.25</v>
      </c>
      <c r="F30" s="36" t="s">
        <v>33</v>
      </c>
      <c r="H30" s="4"/>
      <c r="I30" s="6" t="s">
        <v>18</v>
      </c>
      <c r="J30" s="4">
        <v>0.3</v>
      </c>
      <c r="K30" s="4">
        <v>6.25</v>
      </c>
      <c r="L30" s="4">
        <v>25</v>
      </c>
      <c r="N30" s="4"/>
      <c r="O30" s="6" t="s">
        <v>18</v>
      </c>
      <c r="P30" s="4">
        <v>0.3</v>
      </c>
      <c r="Q30" s="88">
        <v>6.25</v>
      </c>
      <c r="R30" s="88">
        <v>25</v>
      </c>
      <c r="S30" s="127"/>
      <c r="T30" s="73"/>
      <c r="U30" s="6" t="s">
        <v>18</v>
      </c>
      <c r="V30" s="4">
        <v>0.3</v>
      </c>
      <c r="W30" s="4">
        <v>6.25</v>
      </c>
      <c r="X30" s="31">
        <v>25</v>
      </c>
    </row>
    <row r="31" spans="2:24" ht="15.75" customHeight="1" x14ac:dyDescent="0.25">
      <c r="B31" s="134"/>
      <c r="C31" s="73" t="s">
        <v>61</v>
      </c>
      <c r="D31" s="4">
        <v>0.02</v>
      </c>
      <c r="E31" s="4">
        <v>0.45</v>
      </c>
      <c r="F31" s="36" t="s">
        <v>33</v>
      </c>
      <c r="H31" s="4" t="s">
        <v>35</v>
      </c>
      <c r="I31" s="4"/>
      <c r="J31" s="4"/>
      <c r="K31" s="4"/>
      <c r="L31" s="4"/>
      <c r="N31" s="4" t="s">
        <v>35</v>
      </c>
      <c r="O31" s="4"/>
      <c r="P31" s="4"/>
      <c r="Q31" s="88"/>
      <c r="R31" s="88"/>
      <c r="S31" s="127"/>
      <c r="T31" s="73" t="s">
        <v>35</v>
      </c>
      <c r="U31" s="4"/>
      <c r="V31" s="4"/>
      <c r="W31" s="4"/>
      <c r="X31" s="31"/>
    </row>
    <row r="32" spans="2:24" ht="15.75" customHeight="1" x14ac:dyDescent="0.25">
      <c r="B32" s="134"/>
      <c r="C32" s="38" t="s">
        <v>58</v>
      </c>
      <c r="D32" s="4">
        <v>0.01</v>
      </c>
      <c r="E32" s="4">
        <v>0.01</v>
      </c>
      <c r="F32" s="36" t="s">
        <v>33</v>
      </c>
      <c r="H32" s="4"/>
      <c r="I32" s="6" t="s">
        <v>21</v>
      </c>
      <c r="J32" s="4">
        <v>0.1</v>
      </c>
      <c r="K32" s="4">
        <v>0.1</v>
      </c>
      <c r="L32" s="4">
        <v>25</v>
      </c>
      <c r="N32" s="4"/>
      <c r="O32" s="6" t="s">
        <v>21</v>
      </c>
      <c r="P32" s="4">
        <v>0.1</v>
      </c>
      <c r="Q32" s="88">
        <v>0.1</v>
      </c>
      <c r="R32" s="88">
        <v>25</v>
      </c>
      <c r="S32" s="127"/>
      <c r="T32" s="73"/>
      <c r="U32" s="6" t="s">
        <v>21</v>
      </c>
      <c r="V32" s="4">
        <v>0.1</v>
      </c>
      <c r="W32" s="4">
        <v>0.1</v>
      </c>
      <c r="X32" s="31">
        <v>25</v>
      </c>
    </row>
    <row r="33" spans="2:24" ht="15.75" customHeight="1" x14ac:dyDescent="0.25">
      <c r="B33" s="134"/>
      <c r="C33" s="74" t="s">
        <v>29</v>
      </c>
      <c r="D33" s="4">
        <v>0.1</v>
      </c>
      <c r="E33" s="4">
        <v>0.5</v>
      </c>
      <c r="F33" s="36" t="s">
        <v>33</v>
      </c>
      <c r="H33" s="4" t="s">
        <v>19</v>
      </c>
      <c r="I33" s="4"/>
      <c r="J33" s="4"/>
      <c r="K33" s="4"/>
      <c r="L33" s="4"/>
      <c r="N33" s="4" t="s">
        <v>19</v>
      </c>
      <c r="O33" s="4"/>
      <c r="P33" s="4"/>
      <c r="Q33" s="88"/>
      <c r="R33" s="88"/>
      <c r="S33" s="127"/>
      <c r="T33" s="73" t="s">
        <v>19</v>
      </c>
      <c r="U33" s="4"/>
      <c r="V33" s="4"/>
      <c r="W33" s="4"/>
      <c r="X33" s="31"/>
    </row>
    <row r="34" spans="2:24" ht="15.75" customHeight="1" x14ac:dyDescent="0.25">
      <c r="B34" s="134"/>
      <c r="C34" s="72" t="s">
        <v>23</v>
      </c>
      <c r="D34" s="4">
        <v>0.1</v>
      </c>
      <c r="E34" s="4">
        <v>0.25</v>
      </c>
      <c r="F34" s="36" t="s">
        <v>33</v>
      </c>
      <c r="H34" s="4"/>
      <c r="I34" s="6" t="s">
        <v>21</v>
      </c>
      <c r="J34" s="4">
        <v>0.2</v>
      </c>
      <c r="K34" s="4">
        <v>1.8</v>
      </c>
      <c r="L34" s="4">
        <v>25</v>
      </c>
      <c r="N34" s="4"/>
      <c r="O34" s="6" t="s">
        <v>21</v>
      </c>
      <c r="P34" s="4">
        <v>0.2</v>
      </c>
      <c r="Q34" s="88">
        <v>1.8</v>
      </c>
      <c r="R34" s="88">
        <v>25</v>
      </c>
      <c r="S34" s="127"/>
      <c r="T34" s="73"/>
      <c r="U34" s="6" t="s">
        <v>21</v>
      </c>
      <c r="V34" s="4">
        <v>0.2</v>
      </c>
      <c r="W34" s="4">
        <v>1.8</v>
      </c>
      <c r="X34" s="31">
        <v>25</v>
      </c>
    </row>
    <row r="35" spans="2:24" ht="15" x14ac:dyDescent="0.25">
      <c r="B35" s="134"/>
      <c r="C35" s="73" t="s">
        <v>25</v>
      </c>
      <c r="D35" s="4">
        <v>0.4</v>
      </c>
      <c r="E35" s="4">
        <v>2</v>
      </c>
      <c r="F35" s="36" t="s">
        <v>33</v>
      </c>
      <c r="H35" s="38" t="s">
        <v>56</v>
      </c>
      <c r="I35" s="4"/>
      <c r="J35" s="4"/>
      <c r="K35" s="4"/>
      <c r="L35" s="4"/>
      <c r="N35" s="38" t="s">
        <v>56</v>
      </c>
      <c r="O35" s="4"/>
      <c r="P35" s="4"/>
      <c r="Q35" s="88"/>
      <c r="R35" s="88"/>
      <c r="S35" s="127"/>
      <c r="T35" s="126" t="s">
        <v>56</v>
      </c>
      <c r="U35" s="4"/>
      <c r="V35" s="4"/>
      <c r="W35" s="4"/>
      <c r="X35" s="31"/>
    </row>
    <row r="36" spans="2:24" ht="15.75" customHeight="1" x14ac:dyDescent="0.25">
      <c r="B36" s="134"/>
      <c r="C36" s="73" t="s">
        <v>24</v>
      </c>
      <c r="D36" s="4">
        <v>0.25</v>
      </c>
      <c r="E36" s="4">
        <v>0.25</v>
      </c>
      <c r="F36" s="36" t="s">
        <v>33</v>
      </c>
      <c r="H36" s="4"/>
      <c r="I36" s="6" t="s">
        <v>21</v>
      </c>
      <c r="J36" s="4">
        <v>0.05</v>
      </c>
      <c r="K36" s="4">
        <v>1.5</v>
      </c>
      <c r="L36" s="4">
        <v>25</v>
      </c>
      <c r="N36" s="4"/>
      <c r="O36" s="6" t="s">
        <v>21</v>
      </c>
      <c r="P36" s="4">
        <v>0.05</v>
      </c>
      <c r="Q36" s="88">
        <v>1.5</v>
      </c>
      <c r="R36" s="88">
        <v>25</v>
      </c>
      <c r="S36" s="127"/>
      <c r="T36" s="73"/>
      <c r="U36" s="6" t="s">
        <v>21</v>
      </c>
      <c r="V36" s="4">
        <v>0.05</v>
      </c>
      <c r="W36" s="4">
        <v>1.5</v>
      </c>
      <c r="X36" s="31">
        <v>25</v>
      </c>
    </row>
    <row r="37" spans="2:24" ht="15.75" customHeight="1" x14ac:dyDescent="0.2">
      <c r="B37" s="134"/>
      <c r="C37" s="71" t="s">
        <v>2</v>
      </c>
      <c r="D37" s="4">
        <v>2</v>
      </c>
      <c r="E37" s="4">
        <v>2</v>
      </c>
      <c r="F37" s="4"/>
      <c r="H37" s="5" t="s">
        <v>26</v>
      </c>
      <c r="I37" s="4"/>
      <c r="J37" s="4"/>
      <c r="K37" s="4"/>
      <c r="L37" s="4"/>
      <c r="N37" s="5" t="s">
        <v>36</v>
      </c>
      <c r="O37" s="4"/>
      <c r="P37" s="4"/>
      <c r="Q37" s="88"/>
      <c r="R37" s="88"/>
      <c r="S37" s="127"/>
      <c r="T37" s="74" t="s">
        <v>26</v>
      </c>
      <c r="U37" s="4"/>
      <c r="V37" s="4"/>
      <c r="W37" s="4"/>
      <c r="X37" s="31"/>
    </row>
    <row r="38" spans="2:24" ht="15.75" customHeight="1" x14ac:dyDescent="0.25">
      <c r="B38" s="42" t="s">
        <v>50</v>
      </c>
      <c r="C38" s="2"/>
      <c r="D38" s="3">
        <f>SUM(D26:D37)</f>
        <v>3.74</v>
      </c>
      <c r="E38" s="3">
        <f>SUM(E26:E37)</f>
        <v>16.66</v>
      </c>
      <c r="F38" s="2"/>
      <c r="H38" s="4"/>
      <c r="I38" s="6" t="s">
        <v>18</v>
      </c>
      <c r="J38" s="4">
        <v>0.06</v>
      </c>
      <c r="K38" s="4">
        <v>1.25</v>
      </c>
      <c r="L38" s="4">
        <v>5</v>
      </c>
      <c r="N38" s="4"/>
      <c r="O38" s="6" t="s">
        <v>18</v>
      </c>
      <c r="P38" s="4">
        <v>0.06</v>
      </c>
      <c r="Q38" s="88">
        <v>1.25</v>
      </c>
      <c r="R38" s="88">
        <v>5</v>
      </c>
      <c r="S38" s="127"/>
      <c r="T38" s="73"/>
      <c r="U38" s="6" t="s">
        <v>18</v>
      </c>
      <c r="V38" s="4">
        <v>0.06</v>
      </c>
      <c r="W38" s="4">
        <v>1.25</v>
      </c>
      <c r="X38" s="31">
        <v>5</v>
      </c>
    </row>
    <row r="39" spans="2:24" ht="15.75" customHeight="1" x14ac:dyDescent="0.25">
      <c r="B39" s="134" t="s">
        <v>68</v>
      </c>
      <c r="C39" s="76" t="s">
        <v>49</v>
      </c>
      <c r="D39" s="77" t="s">
        <v>15</v>
      </c>
      <c r="E39" s="77" t="s">
        <v>16</v>
      </c>
      <c r="F39" s="69"/>
      <c r="H39" s="4" t="s">
        <v>61</v>
      </c>
      <c r="I39" s="4"/>
      <c r="J39" s="4"/>
      <c r="K39" s="4"/>
      <c r="L39" s="4"/>
      <c r="N39" s="4" t="s">
        <v>61</v>
      </c>
      <c r="O39" s="4"/>
      <c r="P39" s="4"/>
      <c r="Q39" s="88"/>
      <c r="R39" s="88"/>
      <c r="S39" s="127"/>
      <c r="T39" s="73" t="s">
        <v>61</v>
      </c>
      <c r="U39" s="4"/>
      <c r="V39" s="4"/>
      <c r="W39" s="4"/>
      <c r="X39" s="31"/>
    </row>
    <row r="40" spans="2:24" ht="15.75" customHeight="1" x14ac:dyDescent="0.25">
      <c r="B40" s="134"/>
      <c r="C40" s="17" t="s">
        <v>54</v>
      </c>
      <c r="D40" s="8">
        <v>0.3</v>
      </c>
      <c r="E40" s="8">
        <v>6.25</v>
      </c>
      <c r="F40" s="7" t="s">
        <v>34</v>
      </c>
      <c r="H40" s="4"/>
      <c r="I40" s="6" t="s">
        <v>18</v>
      </c>
      <c r="J40" s="4">
        <v>0.02</v>
      </c>
      <c r="K40" s="4">
        <v>0.45</v>
      </c>
      <c r="L40" s="4">
        <v>5</v>
      </c>
      <c r="N40" s="4"/>
      <c r="O40" s="6" t="s">
        <v>18</v>
      </c>
      <c r="P40" s="4">
        <v>0.02</v>
      </c>
      <c r="Q40" s="88">
        <v>0.45</v>
      </c>
      <c r="R40" s="88">
        <v>5</v>
      </c>
      <c r="S40" s="127"/>
      <c r="T40" s="73"/>
      <c r="U40" s="6" t="s">
        <v>18</v>
      </c>
      <c r="V40" s="4">
        <v>0.02</v>
      </c>
      <c r="W40" s="4">
        <v>0.45</v>
      </c>
      <c r="X40" s="31">
        <v>5</v>
      </c>
    </row>
    <row r="41" spans="2:24" ht="15.75" customHeight="1" x14ac:dyDescent="0.25">
      <c r="B41" s="134"/>
      <c r="C41" s="73" t="s">
        <v>35</v>
      </c>
      <c r="D41" s="4">
        <v>0.1</v>
      </c>
      <c r="E41" s="4">
        <v>0.1</v>
      </c>
      <c r="F41" s="7" t="s">
        <v>34</v>
      </c>
      <c r="H41" s="38" t="s">
        <v>58</v>
      </c>
      <c r="I41" s="4"/>
      <c r="J41" s="4"/>
      <c r="K41" s="4"/>
      <c r="L41" s="4"/>
      <c r="N41" s="38" t="s">
        <v>58</v>
      </c>
      <c r="O41" s="4"/>
      <c r="P41" s="4"/>
      <c r="Q41" s="88"/>
      <c r="R41" s="88"/>
      <c r="S41" s="127"/>
      <c r="T41" s="126" t="s">
        <v>58</v>
      </c>
      <c r="U41" s="4"/>
      <c r="V41" s="4"/>
      <c r="W41" s="4"/>
      <c r="X41" s="31"/>
    </row>
    <row r="42" spans="2:24" ht="15.75" customHeight="1" x14ac:dyDescent="0.25">
      <c r="B42" s="134"/>
      <c r="C42" s="73" t="s">
        <v>19</v>
      </c>
      <c r="D42" s="4">
        <v>0.2</v>
      </c>
      <c r="E42" s="4">
        <v>1.8</v>
      </c>
      <c r="F42" s="7" t="s">
        <v>34</v>
      </c>
      <c r="H42" s="4"/>
      <c r="I42" s="6" t="s">
        <v>18</v>
      </c>
      <c r="J42" s="4">
        <v>0.01</v>
      </c>
      <c r="K42" s="4">
        <v>0.01</v>
      </c>
      <c r="L42" s="4">
        <v>10</v>
      </c>
      <c r="N42" s="4"/>
      <c r="O42" s="6" t="s">
        <v>18</v>
      </c>
      <c r="P42" s="4">
        <v>0.01</v>
      </c>
      <c r="Q42" s="88">
        <v>0.01</v>
      </c>
      <c r="R42" s="88">
        <v>10</v>
      </c>
      <c r="S42" s="127"/>
      <c r="T42" s="73"/>
      <c r="U42" s="6" t="s">
        <v>18</v>
      </c>
      <c r="V42" s="4">
        <v>0.01</v>
      </c>
      <c r="W42" s="4">
        <v>0.01</v>
      </c>
      <c r="X42" s="31">
        <v>10</v>
      </c>
    </row>
    <row r="43" spans="2:24" ht="15.75" customHeight="1" x14ac:dyDescent="0.25">
      <c r="B43" s="134"/>
      <c r="C43" s="38" t="s">
        <v>56</v>
      </c>
      <c r="D43" s="4">
        <v>0.2</v>
      </c>
      <c r="E43" s="4">
        <v>1.8</v>
      </c>
      <c r="F43" s="7" t="s">
        <v>34</v>
      </c>
      <c r="H43" s="5" t="s">
        <v>29</v>
      </c>
      <c r="I43" s="4"/>
      <c r="J43" s="4"/>
      <c r="K43" s="4"/>
      <c r="L43" s="4"/>
      <c r="N43" s="5" t="s">
        <v>29</v>
      </c>
      <c r="O43" s="4"/>
      <c r="P43" s="4"/>
      <c r="Q43" s="88"/>
      <c r="R43" s="88"/>
      <c r="S43" s="127"/>
      <c r="T43" s="74" t="s">
        <v>29</v>
      </c>
      <c r="U43" s="4"/>
      <c r="V43" s="4"/>
      <c r="W43" s="4"/>
      <c r="X43" s="31"/>
    </row>
    <row r="44" spans="2:24" ht="15.75" customHeight="1" x14ac:dyDescent="0.25">
      <c r="B44" s="134"/>
      <c r="C44" s="17" t="s">
        <v>57</v>
      </c>
      <c r="D44" s="4">
        <v>0.06</v>
      </c>
      <c r="E44" s="4">
        <v>1.25</v>
      </c>
      <c r="F44" s="7" t="s">
        <v>34</v>
      </c>
      <c r="H44" s="4"/>
      <c r="I44" s="6" t="s">
        <v>18</v>
      </c>
      <c r="J44" s="4">
        <v>0.1</v>
      </c>
      <c r="K44" s="4">
        <v>0.5</v>
      </c>
      <c r="L44" s="4">
        <v>5</v>
      </c>
      <c r="N44" s="4"/>
      <c r="O44" s="6" t="s">
        <v>18</v>
      </c>
      <c r="P44" s="4">
        <v>0.1</v>
      </c>
      <c r="Q44" s="88">
        <v>0.5</v>
      </c>
      <c r="R44" s="88">
        <v>5</v>
      </c>
      <c r="S44" s="127"/>
      <c r="T44" s="73"/>
      <c r="U44" s="6" t="s">
        <v>18</v>
      </c>
      <c r="V44" s="4">
        <v>0.1</v>
      </c>
      <c r="W44" s="4">
        <v>0.5</v>
      </c>
      <c r="X44" s="31">
        <v>5</v>
      </c>
    </row>
    <row r="45" spans="2:24" ht="15.75" customHeight="1" x14ac:dyDescent="0.25">
      <c r="B45" s="134"/>
      <c r="C45" s="73" t="s">
        <v>61</v>
      </c>
      <c r="D45" s="4">
        <v>0.02</v>
      </c>
      <c r="E45" s="4">
        <v>0.45</v>
      </c>
      <c r="F45" s="7" t="s">
        <v>34</v>
      </c>
      <c r="H45" s="4" t="s">
        <v>23</v>
      </c>
      <c r="I45" s="4"/>
      <c r="J45" s="4"/>
      <c r="K45" s="4"/>
      <c r="L45" s="4"/>
      <c r="N45" s="4" t="s">
        <v>23</v>
      </c>
      <c r="O45" s="4"/>
      <c r="P45" s="4"/>
      <c r="Q45" s="88"/>
      <c r="R45" s="88"/>
      <c r="S45" s="127"/>
      <c r="T45" s="73" t="s">
        <v>23</v>
      </c>
      <c r="U45" s="4"/>
      <c r="V45" s="4"/>
      <c r="W45" s="4"/>
      <c r="X45" s="31"/>
    </row>
    <row r="46" spans="2:24" ht="15.75" customHeight="1" x14ac:dyDescent="0.25">
      <c r="B46" s="134"/>
      <c r="C46" s="38" t="s">
        <v>58</v>
      </c>
      <c r="D46" s="4">
        <v>0.01</v>
      </c>
      <c r="E46" s="4">
        <v>0.01</v>
      </c>
      <c r="F46" s="7" t="s">
        <v>34</v>
      </c>
      <c r="H46" s="4"/>
      <c r="I46" s="6" t="s">
        <v>18</v>
      </c>
      <c r="J46" s="4">
        <v>0.1</v>
      </c>
      <c r="K46" s="4">
        <v>0.25</v>
      </c>
      <c r="L46" s="4">
        <v>25</v>
      </c>
      <c r="N46" s="4"/>
      <c r="O46" s="6" t="s">
        <v>18</v>
      </c>
      <c r="P46" s="4">
        <v>0.1</v>
      </c>
      <c r="Q46" s="88">
        <v>0.25</v>
      </c>
      <c r="R46" s="88">
        <v>25</v>
      </c>
      <c r="S46" s="127"/>
      <c r="T46" s="73"/>
      <c r="U46" s="6" t="s">
        <v>18</v>
      </c>
      <c r="V46" s="4">
        <v>0.1</v>
      </c>
      <c r="W46" s="4">
        <v>0.25</v>
      </c>
      <c r="X46" s="31">
        <v>25</v>
      </c>
    </row>
    <row r="47" spans="2:24" ht="15.75" customHeight="1" x14ac:dyDescent="0.25">
      <c r="B47" s="134"/>
      <c r="C47" s="74" t="s">
        <v>29</v>
      </c>
      <c r="D47" s="4">
        <v>0.1</v>
      </c>
      <c r="E47" s="4">
        <v>0.5</v>
      </c>
      <c r="F47" s="7" t="s">
        <v>34</v>
      </c>
      <c r="H47" s="4" t="s">
        <v>25</v>
      </c>
      <c r="I47" s="4"/>
      <c r="J47" s="4"/>
      <c r="K47" s="4"/>
      <c r="L47" s="4"/>
      <c r="N47" s="4" t="s">
        <v>25</v>
      </c>
      <c r="O47" s="4"/>
      <c r="P47" s="4"/>
      <c r="Q47" s="88"/>
      <c r="R47" s="88"/>
      <c r="S47" s="127"/>
      <c r="T47" s="73" t="s">
        <v>25</v>
      </c>
      <c r="U47" s="4"/>
      <c r="V47" s="4"/>
      <c r="W47" s="4"/>
      <c r="X47" s="31"/>
    </row>
    <row r="48" spans="2:24" ht="12.75" customHeight="1" x14ac:dyDescent="0.25">
      <c r="B48" s="134"/>
      <c r="C48" s="72" t="s">
        <v>23</v>
      </c>
      <c r="D48" s="4">
        <v>0.1</v>
      </c>
      <c r="E48" s="4">
        <v>0.25</v>
      </c>
      <c r="F48" s="7" t="s">
        <v>34</v>
      </c>
      <c r="H48" s="4"/>
      <c r="I48" s="6" t="s">
        <v>18</v>
      </c>
      <c r="J48" s="4">
        <v>0.4</v>
      </c>
      <c r="K48" s="4">
        <v>2</v>
      </c>
      <c r="L48" s="5">
        <v>25</v>
      </c>
      <c r="N48" s="4"/>
      <c r="O48" s="6" t="s">
        <v>18</v>
      </c>
      <c r="P48" s="4">
        <v>0.4</v>
      </c>
      <c r="Q48" s="88">
        <v>2</v>
      </c>
      <c r="R48" s="124">
        <v>25</v>
      </c>
      <c r="S48" s="127"/>
      <c r="T48" s="73"/>
      <c r="U48" s="6" t="s">
        <v>18</v>
      </c>
      <c r="V48" s="4">
        <v>0.4</v>
      </c>
      <c r="W48" s="4">
        <v>2</v>
      </c>
      <c r="X48" s="32">
        <v>25</v>
      </c>
    </row>
    <row r="49" spans="2:24" ht="15" x14ac:dyDescent="0.25">
      <c r="B49" s="134"/>
      <c r="C49" s="73" t="s">
        <v>25</v>
      </c>
      <c r="D49" s="4">
        <v>0.4</v>
      </c>
      <c r="E49" s="4">
        <v>2</v>
      </c>
      <c r="F49" s="7" t="s">
        <v>34</v>
      </c>
      <c r="H49" s="4" t="s">
        <v>24</v>
      </c>
      <c r="I49" s="4"/>
      <c r="J49" s="4"/>
      <c r="K49" s="4"/>
      <c r="L49" s="4"/>
      <c r="N49" s="4" t="s">
        <v>24</v>
      </c>
      <c r="O49" s="4"/>
      <c r="P49" s="4"/>
      <c r="Q49" s="88"/>
      <c r="R49" s="88"/>
      <c r="S49" s="127"/>
      <c r="T49" s="73" t="s">
        <v>24</v>
      </c>
      <c r="U49" s="4"/>
      <c r="V49" s="4"/>
      <c r="W49" s="4"/>
      <c r="X49" s="31"/>
    </row>
    <row r="50" spans="2:24" ht="15" x14ac:dyDescent="0.25">
      <c r="B50" s="134"/>
      <c r="C50" s="73" t="s">
        <v>24</v>
      </c>
      <c r="D50" s="4">
        <v>0.25</v>
      </c>
      <c r="E50" s="4">
        <v>0.25</v>
      </c>
      <c r="F50" s="129" t="s">
        <v>34</v>
      </c>
      <c r="H50" s="5"/>
      <c r="I50" s="6" t="s">
        <v>18</v>
      </c>
      <c r="J50" s="4">
        <v>0.25</v>
      </c>
      <c r="K50" s="4">
        <v>0.25</v>
      </c>
      <c r="L50" s="5">
        <v>25</v>
      </c>
      <c r="N50" s="5"/>
      <c r="O50" s="6" t="s">
        <v>18</v>
      </c>
      <c r="P50" s="4">
        <v>0.25</v>
      </c>
      <c r="Q50" s="4">
        <v>0.25</v>
      </c>
      <c r="R50" s="124">
        <v>25</v>
      </c>
      <c r="S50" s="127"/>
      <c r="T50" s="74"/>
      <c r="U50" s="6" t="s">
        <v>18</v>
      </c>
      <c r="V50" s="4">
        <v>0.25</v>
      </c>
      <c r="W50" s="4">
        <v>0.25</v>
      </c>
      <c r="X50" s="32">
        <v>25</v>
      </c>
    </row>
    <row r="51" spans="2:24" ht="15" customHeight="1" x14ac:dyDescent="0.2">
      <c r="B51" s="134"/>
      <c r="C51" s="71" t="s">
        <v>2</v>
      </c>
      <c r="D51" s="4">
        <v>2</v>
      </c>
      <c r="E51" s="4">
        <v>2</v>
      </c>
      <c r="F51" s="130"/>
      <c r="X51" s="43"/>
    </row>
    <row r="52" spans="2:24" ht="15" x14ac:dyDescent="0.25">
      <c r="B52" s="42" t="s">
        <v>50</v>
      </c>
      <c r="C52" s="26"/>
      <c r="D52" s="27">
        <f>SUM(D39:D51)</f>
        <v>3.74</v>
      </c>
      <c r="E52" s="27">
        <f>SUM(E40:E51)</f>
        <v>16.66</v>
      </c>
      <c r="F52" s="26"/>
      <c r="X52" s="43"/>
    </row>
    <row r="53" spans="2:24" ht="15" x14ac:dyDescent="0.25">
      <c r="B53" s="134" t="s">
        <v>69</v>
      </c>
      <c r="C53" s="76" t="s">
        <v>49</v>
      </c>
      <c r="D53" s="77" t="s">
        <v>15</v>
      </c>
      <c r="E53" s="77" t="s">
        <v>16</v>
      </c>
      <c r="F53" s="69"/>
      <c r="X53" s="43"/>
    </row>
    <row r="54" spans="2:24" ht="15" x14ac:dyDescent="0.25">
      <c r="B54" s="134"/>
      <c r="C54" s="17" t="s">
        <v>54</v>
      </c>
      <c r="D54" s="8">
        <v>0.3</v>
      </c>
      <c r="E54" s="8">
        <v>6.25</v>
      </c>
      <c r="F54" s="128" t="s">
        <v>67</v>
      </c>
      <c r="X54" s="43"/>
    </row>
    <row r="55" spans="2:24" ht="15" x14ac:dyDescent="0.25">
      <c r="B55" s="134"/>
      <c r="C55" s="73" t="s">
        <v>35</v>
      </c>
      <c r="D55" s="4">
        <v>0.1</v>
      </c>
      <c r="E55" s="4">
        <v>0.1</v>
      </c>
      <c r="F55" s="128" t="s">
        <v>67</v>
      </c>
      <c r="X55" s="43"/>
    </row>
    <row r="56" spans="2:24" ht="15" x14ac:dyDescent="0.25">
      <c r="B56" s="134"/>
      <c r="C56" s="73" t="s">
        <v>19</v>
      </c>
      <c r="D56" s="4">
        <v>0.2</v>
      </c>
      <c r="E56" s="4">
        <v>1.8</v>
      </c>
      <c r="F56" s="128" t="s">
        <v>67</v>
      </c>
      <c r="X56" s="43"/>
    </row>
    <row r="57" spans="2:24" ht="15" x14ac:dyDescent="0.25">
      <c r="B57" s="134"/>
      <c r="C57" s="38" t="s">
        <v>56</v>
      </c>
      <c r="D57" s="4">
        <v>0.2</v>
      </c>
      <c r="E57" s="4">
        <v>1.8</v>
      </c>
      <c r="F57" s="128" t="s">
        <v>67</v>
      </c>
      <c r="X57" s="43"/>
    </row>
    <row r="58" spans="2:24" ht="15" x14ac:dyDescent="0.25">
      <c r="B58" s="134"/>
      <c r="C58" s="17" t="s">
        <v>57</v>
      </c>
      <c r="D58" s="4">
        <v>0.06</v>
      </c>
      <c r="E58" s="4">
        <v>1.25</v>
      </c>
      <c r="F58" s="128" t="s">
        <v>67</v>
      </c>
      <c r="X58" s="43"/>
    </row>
    <row r="59" spans="2:24" ht="15" x14ac:dyDescent="0.25">
      <c r="B59" s="134"/>
      <c r="C59" s="73" t="s">
        <v>61</v>
      </c>
      <c r="D59" s="4">
        <v>0.02</v>
      </c>
      <c r="E59" s="4">
        <v>0.45</v>
      </c>
      <c r="F59" s="128" t="s">
        <v>67</v>
      </c>
      <c r="X59" s="43"/>
    </row>
    <row r="60" spans="2:24" ht="15" x14ac:dyDescent="0.25">
      <c r="B60" s="134"/>
      <c r="C60" s="38" t="s">
        <v>58</v>
      </c>
      <c r="D60" s="4">
        <v>0.01</v>
      </c>
      <c r="E60" s="4">
        <v>0.01</v>
      </c>
      <c r="F60" s="128" t="s">
        <v>67</v>
      </c>
      <c r="X60" s="43"/>
    </row>
    <row r="61" spans="2:24" ht="15" x14ac:dyDescent="0.25">
      <c r="B61" s="134"/>
      <c r="C61" s="74" t="s">
        <v>29</v>
      </c>
      <c r="D61" s="4">
        <v>0.1</v>
      </c>
      <c r="E61" s="4">
        <v>0.5</v>
      </c>
      <c r="F61" s="128" t="s">
        <v>67</v>
      </c>
      <c r="X61" s="43"/>
    </row>
    <row r="62" spans="2:24" ht="15" x14ac:dyDescent="0.25">
      <c r="B62" s="134"/>
      <c r="C62" s="72" t="s">
        <v>23</v>
      </c>
      <c r="D62" s="4">
        <v>0.1</v>
      </c>
      <c r="E62" s="4">
        <v>0.25</v>
      </c>
      <c r="F62" s="128" t="s">
        <v>67</v>
      </c>
      <c r="X62" s="43"/>
    </row>
    <row r="63" spans="2:24" ht="15" x14ac:dyDescent="0.25">
      <c r="B63" s="134"/>
      <c r="C63" s="73" t="s">
        <v>25</v>
      </c>
      <c r="D63" s="4">
        <v>0.4</v>
      </c>
      <c r="E63" s="4">
        <v>2</v>
      </c>
      <c r="F63" s="128" t="s">
        <v>67</v>
      </c>
      <c r="X63" s="43"/>
    </row>
    <row r="64" spans="2:24" ht="15" x14ac:dyDescent="0.25">
      <c r="B64" s="134"/>
      <c r="C64" s="73" t="s">
        <v>24</v>
      </c>
      <c r="D64" s="4">
        <v>0.25</v>
      </c>
      <c r="E64" s="4">
        <v>0.25</v>
      </c>
      <c r="F64" s="128" t="s">
        <v>67</v>
      </c>
      <c r="X64" s="43"/>
    </row>
    <row r="65" spans="2:24" ht="12.75" x14ac:dyDescent="0.2">
      <c r="B65" s="134"/>
      <c r="C65" s="71" t="s">
        <v>2</v>
      </c>
      <c r="D65" s="4">
        <v>2</v>
      </c>
      <c r="E65" s="4">
        <v>2</v>
      </c>
      <c r="F65" s="1"/>
      <c r="X65" s="43"/>
    </row>
    <row r="66" spans="2:24" ht="15" x14ac:dyDescent="0.25">
      <c r="B66" s="42" t="s">
        <v>50</v>
      </c>
      <c r="C66" s="26"/>
      <c r="D66" s="27">
        <f>SUM(D53:D65)</f>
        <v>3.74</v>
      </c>
      <c r="E66" s="27">
        <f>SUM(E54:E65)</f>
        <v>16.66</v>
      </c>
      <c r="F66" s="26"/>
      <c r="X66" s="43"/>
    </row>
    <row r="67" spans="2:24" ht="15" x14ac:dyDescent="0.25">
      <c r="B67" s="153" t="s">
        <v>31</v>
      </c>
      <c r="C67" s="75"/>
      <c r="D67" s="75" t="s">
        <v>15</v>
      </c>
      <c r="E67" s="75" t="s">
        <v>16</v>
      </c>
      <c r="F67" s="69"/>
      <c r="X67" s="43"/>
    </row>
    <row r="68" spans="2:24" ht="15.75" customHeight="1" x14ac:dyDescent="0.2">
      <c r="B68" s="154"/>
      <c r="C68" s="47"/>
      <c r="D68" s="12">
        <v>2</v>
      </c>
      <c r="E68" s="12">
        <v>4</v>
      </c>
      <c r="F68" s="12"/>
      <c r="X68" s="43"/>
    </row>
    <row r="69" spans="2:24" ht="13.5" thickBot="1" x14ac:dyDescent="0.25">
      <c r="B69" s="82" t="s">
        <v>50</v>
      </c>
      <c r="C69" s="83" t="s">
        <v>13</v>
      </c>
      <c r="D69" s="84">
        <f>SUM(D68)</f>
        <v>2</v>
      </c>
      <c r="E69" s="84">
        <f>SUM(E68)</f>
        <v>4</v>
      </c>
      <c r="F69" s="84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85"/>
    </row>
    <row r="70" spans="2:24" ht="12.75" x14ac:dyDescent="0.2"/>
    <row r="71" spans="2:24" ht="12.75" x14ac:dyDescent="0.2"/>
  </sheetData>
  <mergeCells count="29">
    <mergeCell ref="T25:T26"/>
    <mergeCell ref="U26:W26"/>
    <mergeCell ref="B53:B65"/>
    <mergeCell ref="B21:X22"/>
    <mergeCell ref="B24:F24"/>
    <mergeCell ref="O26:Q26"/>
    <mergeCell ref="N25:N26"/>
    <mergeCell ref="B67:B68"/>
    <mergeCell ref="B13:B15"/>
    <mergeCell ref="C13:C15"/>
    <mergeCell ref="D13:D15"/>
    <mergeCell ref="E13:M13"/>
    <mergeCell ref="E14:F14"/>
    <mergeCell ref="G14:H14"/>
    <mergeCell ref="I14:J14"/>
    <mergeCell ref="K14:L15"/>
    <mergeCell ref="M14:M15"/>
    <mergeCell ref="B3:N4"/>
    <mergeCell ref="C7:C8"/>
    <mergeCell ref="D7:D8"/>
    <mergeCell ref="E7:F7"/>
    <mergeCell ref="G7:G8"/>
    <mergeCell ref="H7:H8"/>
    <mergeCell ref="B7:B8"/>
    <mergeCell ref="N13:N15"/>
    <mergeCell ref="B39:B51"/>
    <mergeCell ref="B25:B37"/>
    <mergeCell ref="H25:H26"/>
    <mergeCell ref="I26:K2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CE191A7F9EA194DB6F9304CB196BFE1" ma:contentTypeVersion="17" ma:contentTypeDescription="Створення нового документа." ma:contentTypeScope="" ma:versionID="57e7d8d7c25e095ce9afcb2ba393b9dc">
  <xsd:schema xmlns:xsd="http://www.w3.org/2001/XMLSchema" xmlns:xs="http://www.w3.org/2001/XMLSchema" xmlns:p="http://schemas.microsoft.com/office/2006/metadata/properties" xmlns:ns2="ab3fb770-ef67-4845-91d8-f31e50a9cc54" xmlns:ns3="311a4a50-0feb-42fb-be03-d2233b01a506" targetNamespace="http://schemas.microsoft.com/office/2006/metadata/properties" ma:root="true" ma:fieldsID="05c4c2c2b0480cd79acd733a2153c351" ns2:_="" ns3:_="">
    <xsd:import namespace="ab3fb770-ef67-4845-91d8-f31e50a9cc54"/>
    <xsd:import namespace="311a4a50-0feb-42fb-be03-d2233b01a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fb770-ef67-4845-91d8-f31e50a9c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aa11529d-8f47-4543-99a3-2c5b5397a9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Стан погодження" ma:internalName="_x0421__x0442__x0430__x043d__x0020__x043f__x043e__x0433__x043e__x0434__x0436__x0435__x043d__x043d__x044f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a4a50-0feb-42fb-be03-d2233b01a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dd6a7a-4a8c-4b00-99e6-ed469aaf93e7}" ma:internalName="TaxCatchAll" ma:showField="CatchAllData" ma:web="311a4a50-0feb-42fb-be03-d2233b01a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1a4a50-0feb-42fb-be03-d2233b01a506" xsi:nil="true"/>
    <lcf76f155ced4ddcb4097134ff3c332f xmlns="ab3fb770-ef67-4845-91d8-f31e50a9cc54">
      <Terms xmlns="http://schemas.microsoft.com/office/infopath/2007/PartnerControls"/>
    </lcf76f155ced4ddcb4097134ff3c332f>
    <_Flow_SignoffStatus xmlns="ab3fb770-ef67-4845-91d8-f31e50a9cc54" xsi:nil="true"/>
  </documentManagement>
</p:properties>
</file>

<file path=customXml/itemProps1.xml><?xml version="1.0" encoding="utf-8"?>
<ds:datastoreItem xmlns:ds="http://schemas.openxmlformats.org/officeDocument/2006/customXml" ds:itemID="{6DAAF213-661B-45C5-BB84-4EC75CDA3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fb770-ef67-4845-91d8-f31e50a9cc54"/>
    <ds:schemaRef ds:uri="311a4a50-0feb-42fb-be03-d2233b01a5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20AA17-2C46-401A-BDBB-EC5AE154BC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8DA0A2-27E5-46EB-9217-F94AF14F822F}">
  <ds:schemaRefs>
    <ds:schemaRef ds:uri="http://schemas.microsoft.com/office/2006/metadata/properties"/>
    <ds:schemaRef ds:uri="http://schemas.microsoft.com/office/infopath/2007/PartnerControls"/>
    <ds:schemaRef ds:uri="311a4a50-0feb-42fb-be03-d2233b01a506"/>
    <ds:schemaRef ds:uri="ab3fb770-ef67-4845-91d8-f31e50a9cc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</vt:lpstr>
      <vt:lpstr>Test Dev PredProd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Олег Примак</dc:creator>
  <cp:keywords/>
  <dc:description/>
  <cp:lastModifiedBy>Dmytro Karavaiev</cp:lastModifiedBy>
  <cp:revision/>
  <dcterms:created xsi:type="dcterms:W3CDTF">2023-01-05T08:24:46Z</dcterms:created>
  <dcterms:modified xsi:type="dcterms:W3CDTF">2026-03-04T09:18:26Z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0x0101007CE191A7F9EA194DB6F9304CB196BFE1</vt:lpwstr>
  </property>
  <property fmtid="{D5CDD505-2E9C-101B-9397-08002B2CF9AE}" pid="3" name="MediaServiceImageTags">
    <vt:lpwstr/>
  </property>
</Properties>
</file>