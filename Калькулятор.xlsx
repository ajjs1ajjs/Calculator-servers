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Стандарт k8s" sheetId="1" r:id="rId1"/>
    <sheet name="Документообіг k8s" sheetId="3" r:id="rId2"/>
    <sheet name="MSSQL" sheetId="4" r:id="rId3"/>
    <sheet name="Window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3" l="1"/>
  <c r="P6" i="3"/>
  <c r="E6" i="3"/>
  <c r="D6" i="3"/>
  <c r="Q6" i="1"/>
  <c r="P6" i="1"/>
  <c r="E6" i="1"/>
  <c r="D6" i="1"/>
  <c r="T16" i="5" l="1"/>
  <c r="R16" i="5"/>
  <c r="E16" i="5"/>
  <c r="D16" i="5"/>
  <c r="T6" i="5"/>
  <c r="R6" i="5"/>
  <c r="E6" i="5"/>
  <c r="D6" i="5"/>
  <c r="R17" i="5" l="1"/>
  <c r="F17" i="5"/>
  <c r="E17" i="5"/>
  <c r="Q17" i="5" s="1"/>
  <c r="D17" i="5"/>
  <c r="C17" i="5"/>
  <c r="R18" i="5"/>
  <c r="F18" i="5"/>
  <c r="E18" i="5"/>
  <c r="Q18" i="5" s="1"/>
  <c r="D18" i="5"/>
  <c r="C18" i="5"/>
  <c r="R8" i="5" l="1"/>
  <c r="F8" i="5"/>
  <c r="E8" i="5"/>
  <c r="Q8" i="5" s="1"/>
  <c r="D8" i="5"/>
  <c r="C8" i="5"/>
  <c r="R7" i="5"/>
  <c r="F7" i="5"/>
  <c r="E7" i="5"/>
  <c r="Q7" i="5" s="1"/>
  <c r="D7" i="5"/>
  <c r="C7" i="5"/>
  <c r="E17" i="3" l="1"/>
  <c r="E17" i="1"/>
  <c r="N18" i="4"/>
  <c r="M18" i="4"/>
  <c r="L18" i="4"/>
  <c r="K18" i="4"/>
  <c r="J18" i="4"/>
  <c r="N2" i="4"/>
  <c r="M2" i="4"/>
  <c r="L2" i="4"/>
  <c r="K2" i="4"/>
  <c r="J2" i="4"/>
  <c r="E14" i="1" l="1"/>
  <c r="E42" i="3" l="1"/>
  <c r="E41" i="3"/>
  <c r="D45" i="3" s="1"/>
  <c r="E36" i="3"/>
  <c r="E34" i="3"/>
  <c r="D39" i="3" s="1"/>
  <c r="E31" i="3"/>
  <c r="E30" i="3"/>
  <c r="E29" i="3"/>
  <c r="E27" i="3"/>
  <c r="E26" i="3"/>
  <c r="E23" i="3"/>
  <c r="E22" i="3"/>
  <c r="E21" i="3"/>
  <c r="E20" i="3"/>
  <c r="E14" i="3"/>
  <c r="D32" i="3" l="1"/>
  <c r="D24" i="3"/>
  <c r="E9" i="3" s="1"/>
  <c r="C32" i="3"/>
  <c r="C39" i="3"/>
  <c r="C24" i="3"/>
  <c r="C45" i="3"/>
  <c r="D9" i="3" l="1"/>
  <c r="F8" i="3" s="1"/>
  <c r="E42" i="1"/>
  <c r="E41" i="1"/>
  <c r="D45" i="1" l="1"/>
  <c r="C45" i="1" l="1"/>
  <c r="E36" i="1"/>
  <c r="E34" i="1"/>
  <c r="D39" i="1" l="1"/>
  <c r="C39" i="1"/>
  <c r="E27" i="1"/>
  <c r="E31" i="1"/>
  <c r="E30" i="1"/>
  <c r="E29" i="1"/>
  <c r="E26" i="1"/>
  <c r="C32" i="1" l="1"/>
  <c r="D32" i="1"/>
  <c r="E21" i="1"/>
  <c r="E20" i="1"/>
  <c r="E23" i="1"/>
  <c r="E22" i="1"/>
  <c r="D24" i="1" l="1"/>
  <c r="E9" i="1" s="1"/>
  <c r="C24" i="1"/>
  <c r="D9" i="1" s="1"/>
  <c r="F8" i="1" l="1"/>
</calcChain>
</file>

<file path=xl/sharedStrings.xml><?xml version="1.0" encoding="utf-8"?>
<sst xmlns="http://schemas.openxmlformats.org/spreadsheetml/2006/main" count="373" uniqueCount="92">
  <si>
    <t>Промислове середовище</t>
  </si>
  <si>
    <t>CPU</t>
  </si>
  <si>
    <t>RAM</t>
  </si>
  <si>
    <t>ОС</t>
  </si>
  <si>
    <t>от ГГц</t>
  </si>
  <si>
    <t xml:space="preserve"> Ядер</t>
  </si>
  <si>
    <t>Гб</t>
  </si>
  <si>
    <t>тип</t>
  </si>
  <si>
    <t>Master node</t>
  </si>
  <si>
    <t>&gt;=3.0</t>
  </si>
  <si>
    <t>Ubuntu 24.04</t>
  </si>
  <si>
    <t>SSD</t>
  </si>
  <si>
    <t>AS (Сервер додатків)</t>
  </si>
  <si>
    <t>AS-Local SQL</t>
  </si>
  <si>
    <t>AS-Redis</t>
  </si>
  <si>
    <t>ROBOT (Планувальник)</t>
  </si>
  <si>
    <t>ROBOT-Local SQL</t>
  </si>
  <si>
    <t>ROBOT-Redis</t>
  </si>
  <si>
    <t>Webrmd (Веб клієнт)</t>
  </si>
  <si>
    <t>SmartID</t>
  </si>
  <si>
    <t>WS (Веб сервіси)</t>
  </si>
  <si>
    <t>WS-SignalR</t>
  </si>
  <si>
    <t>GraphQL</t>
  </si>
  <si>
    <t>ForceBPM Engine</t>
  </si>
  <si>
    <t>ForceBPM Modeler</t>
  </si>
  <si>
    <t>ForceBPM Processes</t>
  </si>
  <si>
    <t>ForceBPM Tasks</t>
  </si>
  <si>
    <t>ForceBPM Tasks-Graphql</t>
  </si>
  <si>
    <t>Кількість</t>
  </si>
  <si>
    <t>Pods:</t>
  </si>
  <si>
    <t>ForceBPM</t>
  </si>
  <si>
    <t>не маштабується</t>
  </si>
  <si>
    <t>Розрахунок ресурсів виконується лише для кількості ліцензій, кратної 25 (25, 50, 75, 100, 125 і тд.)</t>
  </si>
  <si>
    <t>LMS</t>
  </si>
  <si>
    <t>LMS-GraphQL</t>
  </si>
  <si>
    <t>LMS-Videoutilities</t>
  </si>
  <si>
    <t>LMS-Fileserver</t>
  </si>
  <si>
    <t>Для пришвидшення треба збільшувати репліки (не маштабується)</t>
  </si>
  <si>
    <t>К-ть сесій</t>
  </si>
  <si>
    <t>Worker-node</t>
  </si>
  <si>
    <t>HR Portal</t>
  </si>
  <si>
    <t>WebAppModeler</t>
  </si>
  <si>
    <t>CommonAppPlayer</t>
  </si>
  <si>
    <t>Документообіг</t>
  </si>
  <si>
    <t>Стандарт</t>
  </si>
  <si>
    <t>К-ть ліцензій</t>
  </si>
  <si>
    <t>Мін ліцензій</t>
  </si>
  <si>
    <t>Макс ліцензій</t>
  </si>
  <si>
    <t>CPU (ядер)</t>
  </si>
  <si>
    <t>RAM Min</t>
  </si>
  <si>
    <t>RAM Rec</t>
  </si>
  <si>
    <t>Кількість ліцензій</t>
  </si>
  <si>
    <t>RAM min</t>
  </si>
  <si>
    <t>RAM rec</t>
  </si>
  <si>
    <t>SQL</t>
  </si>
  <si>
    <t>К-ть ліцензій MSSQL</t>
  </si>
  <si>
    <t>Windows Server 2022</t>
  </si>
  <si>
    <t>Сервери</t>
  </si>
  <si>
    <t>Промислове середовище (Документообіг)</t>
  </si>
  <si>
    <t>Lat. &lt;=, mc</t>
  </si>
  <si>
    <t>Диск для ОС</t>
  </si>
  <si>
    <t>Диск для LDF, TEMPDB</t>
  </si>
  <si>
    <t>Диск для MainData</t>
  </si>
  <si>
    <t>Диск для Content</t>
  </si>
  <si>
    <t>300*</t>
  </si>
  <si>
    <t>200*</t>
  </si>
  <si>
    <t>IOPS</t>
  </si>
  <si>
    <t>Latency</t>
  </si>
  <si>
    <t>0.6</t>
  </si>
  <si>
    <t>0.2</t>
  </si>
  <si>
    <t>0.1</t>
  </si>
  <si>
    <t>IOPS 50r/50w</t>
  </si>
  <si>
    <t>IOPS 50/50</t>
  </si>
  <si>
    <t>Загальна сума CPU/RAM worker-node</t>
  </si>
  <si>
    <t>IOPS   50r/50w</t>
  </si>
  <si>
    <t>Сервери додатків</t>
  </si>
  <si>
    <t>GHz</t>
  </si>
  <si>
    <t>RAM_Min</t>
  </si>
  <si>
    <t>RAM_Rec</t>
  </si>
  <si>
    <t>AppServers</t>
  </si>
  <si>
    <t>К-сть серверів</t>
  </si>
  <si>
    <t>WebServers</t>
  </si>
  <si>
    <t>от ГГц  &gt;=</t>
  </si>
  <si>
    <t>3.0</t>
  </si>
  <si>
    <t>SATA</t>
  </si>
  <si>
    <t>150*</t>
  </si>
  <si>
    <t xml:space="preserve">IOPS </t>
  </si>
  <si>
    <t>30r/70w</t>
  </si>
  <si>
    <t>50r/50w</t>
  </si>
  <si>
    <t>70r/30w</t>
  </si>
  <si>
    <t>Веб сервери (IIS)</t>
  </si>
  <si>
    <t xml:space="preserve">PageFile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</si>
</sst>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 Unicode MS"/>
      <charset val="204"/>
    </font>
    <font>
      <sz val="10"/>
      <color theme="1"/>
      <name val="Arial Unicode MS"/>
      <charset val="204"/>
    </font>
    <font>
      <b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Border="1"/>
    <xf numFmtId="0" fontId="0" fillId="3" borderId="3" xfId="0" applyFill="1" applyBorder="1"/>
    <xf numFmtId="0" fontId="5" fillId="3" borderId="3" xfId="0" applyFont="1" applyFill="1" applyBorder="1"/>
    <xf numFmtId="0" fontId="7" fillId="4" borderId="3" xfId="0" applyFont="1" applyFill="1" applyBorder="1"/>
    <xf numFmtId="0" fontId="7" fillId="3" borderId="3" xfId="0" applyFont="1" applyFill="1" applyBorder="1"/>
    <xf numFmtId="0" fontId="6" fillId="3" borderId="3" xfId="0" applyFont="1" applyFill="1" applyBorder="1"/>
    <xf numFmtId="0" fontId="0" fillId="3" borderId="1" xfId="0" applyFill="1" applyBorder="1"/>
    <xf numFmtId="0" fontId="4" fillId="3" borderId="3" xfId="0" applyFont="1" applyFill="1" applyBorder="1"/>
    <xf numFmtId="0" fontId="7" fillId="6" borderId="3" xfId="0" applyFont="1" applyFill="1" applyBorder="1"/>
    <xf numFmtId="0" fontId="7" fillId="6" borderId="4" xfId="0" applyFont="1" applyFill="1" applyBorder="1"/>
    <xf numFmtId="0" fontId="7" fillId="4" borderId="2" xfId="0" applyFont="1" applyFill="1" applyBorder="1"/>
    <xf numFmtId="0" fontId="7" fillId="6" borderId="2" xfId="0" applyFont="1" applyFill="1" applyBorder="1"/>
    <xf numFmtId="0" fontId="7" fillId="6" borderId="8" xfId="0" applyFont="1" applyFill="1" applyBorder="1"/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/>
    <xf numFmtId="0" fontId="5" fillId="7" borderId="3" xfId="0" applyFont="1" applyFill="1" applyBorder="1"/>
    <xf numFmtId="0" fontId="6" fillId="7" borderId="3" xfId="0" applyFont="1" applyFill="1" applyBorder="1"/>
    <xf numFmtId="0" fontId="0" fillId="7" borderId="1" xfId="0" applyFill="1" applyBorder="1"/>
    <xf numFmtId="0" fontId="7" fillId="7" borderId="3" xfId="0" applyFont="1" applyFill="1" applyBorder="1"/>
    <xf numFmtId="0" fontId="4" fillId="7" borderId="3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3" xfId="0" applyFill="1" applyBorder="1"/>
    <xf numFmtId="0" fontId="0" fillId="8" borderId="9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2" borderId="11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10" fillId="5" borderId="6" xfId="0" applyFont="1" applyFill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0" fillId="0" borderId="9" xfId="0" applyBorder="1"/>
    <xf numFmtId="0" fontId="9" fillId="0" borderId="3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7" borderId="13" xfId="0" applyFont="1" applyFill="1" applyBorder="1"/>
    <xf numFmtId="0" fontId="0" fillId="4" borderId="3" xfId="0" applyFill="1" applyBorder="1"/>
    <xf numFmtId="0" fontId="0" fillId="7" borderId="3" xfId="0" applyFill="1" applyBorder="1" applyAlignment="1">
      <alignment vertical="center" wrapText="1"/>
    </xf>
    <xf numFmtId="0" fontId="7" fillId="9" borderId="10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7" borderId="3" xfId="0" applyFill="1" applyBorder="1"/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horizontal="right" vertical="center" wrapText="1"/>
    </xf>
    <xf numFmtId="0" fontId="0" fillId="7" borderId="3" xfId="0" applyFill="1" applyBorder="1" applyAlignment="1">
      <alignment horizontal="right" vertical="center" wrapText="1"/>
    </xf>
    <xf numFmtId="0" fontId="2" fillId="0" borderId="3" xfId="0" applyFont="1" applyBorder="1"/>
    <xf numFmtId="0" fontId="0" fillId="8" borderId="4" xfId="0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0" xfId="0" applyFont="1" applyBorder="1"/>
    <xf numFmtId="0" fontId="0" fillId="4" borderId="5" xfId="0" applyFill="1" applyBorder="1"/>
    <xf numFmtId="0" fontId="7" fillId="4" borderId="6" xfId="0" applyFon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abSelected="1" workbookViewId="0">
      <selection activeCell="G16" sqref="G16"/>
    </sheetView>
  </sheetViews>
  <sheetFormatPr defaultRowHeight="14.4"/>
  <cols>
    <col min="1" max="1" width="17.44140625" customWidth="1"/>
    <col min="2" max="2" width="33.77734375" customWidth="1"/>
    <col min="3" max="3" width="9.33203125" customWidth="1"/>
    <col min="4" max="4" width="11.77734375" customWidth="1"/>
    <col min="5" max="5" width="12.77734375" customWidth="1"/>
    <col min="6" max="6" width="12.33203125" customWidth="1"/>
    <col min="7" max="7" width="18.33203125" customWidth="1"/>
    <col min="8" max="8" width="18.44140625" customWidth="1"/>
    <col min="10" max="10" width="6.77734375" customWidth="1"/>
    <col min="11" max="11" width="13.21875" customWidth="1"/>
    <col min="12" max="12" width="8.77734375" style="61" customWidth="1"/>
    <col min="13" max="13" width="11.88671875" style="61" customWidth="1"/>
    <col min="14" max="14" width="5.77734375" customWidth="1"/>
    <col min="15" max="15" width="10.77734375" style="61" customWidth="1"/>
    <col min="16" max="16" width="10.33203125" customWidth="1"/>
    <col min="17" max="17" width="11.21875" customWidth="1"/>
    <col min="18" max="18" width="11.6640625" customWidth="1"/>
  </cols>
  <sheetData>
    <row r="1" spans="1:17">
      <c r="A1" s="17" t="s">
        <v>44</v>
      </c>
    </row>
    <row r="2" spans="1:17">
      <c r="B2" s="94" t="s">
        <v>32</v>
      </c>
      <c r="C2" s="94"/>
      <c r="D2" s="94"/>
      <c r="E2" s="94"/>
      <c r="F2" s="94"/>
      <c r="G2" s="94"/>
    </row>
    <row r="4" spans="1:17">
      <c r="B4" s="52" t="s">
        <v>0</v>
      </c>
      <c r="C4" s="38"/>
      <c r="D4" s="38" t="s">
        <v>1</v>
      </c>
      <c r="E4" s="39" t="s">
        <v>53</v>
      </c>
      <c r="F4" s="95" t="s">
        <v>28</v>
      </c>
      <c r="G4" s="95" t="s">
        <v>3</v>
      </c>
      <c r="H4" s="92" t="s">
        <v>60</v>
      </c>
      <c r="I4" s="93"/>
      <c r="J4" s="99" t="s">
        <v>61</v>
      </c>
      <c r="K4" s="99"/>
      <c r="L4" s="99" t="s">
        <v>62</v>
      </c>
      <c r="M4" s="99"/>
      <c r="N4" s="99" t="s">
        <v>63</v>
      </c>
      <c r="O4" s="99"/>
      <c r="P4" s="97" t="s">
        <v>71</v>
      </c>
      <c r="Q4" s="98" t="s">
        <v>59</v>
      </c>
    </row>
    <row r="5" spans="1:17" ht="15" thickBot="1">
      <c r="A5" t="s">
        <v>55</v>
      </c>
      <c r="B5" s="52" t="s">
        <v>57</v>
      </c>
      <c r="C5" s="38" t="s">
        <v>4</v>
      </c>
      <c r="D5" s="38" t="s">
        <v>5</v>
      </c>
      <c r="E5" s="38" t="s">
        <v>6</v>
      </c>
      <c r="F5" s="96"/>
      <c r="G5" s="96"/>
      <c r="H5" s="38" t="s">
        <v>7</v>
      </c>
      <c r="I5" s="38" t="s">
        <v>6</v>
      </c>
      <c r="J5" s="62" t="s">
        <v>7</v>
      </c>
      <c r="K5" s="62" t="s">
        <v>6</v>
      </c>
      <c r="L5" s="62" t="s">
        <v>7</v>
      </c>
      <c r="M5" s="62" t="s">
        <v>6</v>
      </c>
      <c r="N5" s="62" t="s">
        <v>7</v>
      </c>
      <c r="O5" s="62" t="s">
        <v>6</v>
      </c>
      <c r="P5" s="97"/>
      <c r="Q5" s="98"/>
    </row>
    <row r="6" spans="1:17" ht="15" thickBot="1">
      <c r="A6" s="51"/>
      <c r="B6" s="47" t="s">
        <v>54</v>
      </c>
      <c r="C6" s="38" t="s">
        <v>9</v>
      </c>
      <c r="D6" s="1" t="str">
        <f>IFERROR(VLOOKUP(A6,MSSQL!A2:E13,3,TRUE),"0")</f>
        <v>0</v>
      </c>
      <c r="E6" s="40" t="str">
        <f>IFERROR(VLOOKUP(A6,MSSQL!A2:E13,5,TRUE),"0")</f>
        <v>0</v>
      </c>
      <c r="F6" s="11">
        <v>1</v>
      </c>
      <c r="G6" s="46" t="s">
        <v>56</v>
      </c>
      <c r="H6" s="3" t="s">
        <v>11</v>
      </c>
      <c r="I6" s="66">
        <v>150</v>
      </c>
      <c r="J6" s="63" t="s">
        <v>11</v>
      </c>
      <c r="K6" s="65" t="s">
        <v>85</v>
      </c>
      <c r="L6" s="63" t="s">
        <v>11</v>
      </c>
      <c r="M6" s="65" t="s">
        <v>64</v>
      </c>
      <c r="N6" s="66" t="s">
        <v>84</v>
      </c>
      <c r="O6" s="65" t="s">
        <v>65</v>
      </c>
      <c r="P6" s="65" t="str">
        <f>IFERROR(VLOOKUP(A6,MSSQL!A2:G13,6,TRUE),"0")</f>
        <v>0</v>
      </c>
      <c r="Q6" s="65" t="str">
        <f>IFERROR(VLOOKUP(A6,MSSQL!A2:G13,7,TRUE),"0")</f>
        <v>0</v>
      </c>
    </row>
    <row r="7" spans="1:17" ht="15" thickBot="1">
      <c r="B7" s="2" t="s">
        <v>8</v>
      </c>
      <c r="C7" s="3" t="s">
        <v>9</v>
      </c>
      <c r="D7" s="27">
        <v>4</v>
      </c>
      <c r="E7" s="68">
        <v>6</v>
      </c>
      <c r="F7" s="68">
        <v>1</v>
      </c>
      <c r="G7" s="49" t="s">
        <v>10</v>
      </c>
      <c r="H7" s="3" t="s">
        <v>11</v>
      </c>
      <c r="I7" s="68">
        <v>100</v>
      </c>
      <c r="K7" s="61"/>
      <c r="M7"/>
      <c r="N7" s="61"/>
      <c r="O7"/>
    </row>
    <row r="8" spans="1:17" ht="15" thickBot="1">
      <c r="B8" s="5" t="s">
        <v>39</v>
      </c>
      <c r="C8" s="26" t="s">
        <v>9</v>
      </c>
      <c r="D8" s="29">
        <v>8</v>
      </c>
      <c r="E8" s="108">
        <v>32</v>
      </c>
      <c r="F8" s="54">
        <f>MAX(1,MAX(CEILING(D9/D8,1),CEILING(E9/E8,1)))</f>
        <v>1</v>
      </c>
      <c r="G8" s="50" t="s">
        <v>10</v>
      </c>
      <c r="H8" s="1" t="s">
        <v>11</v>
      </c>
      <c r="I8" s="65">
        <v>200</v>
      </c>
      <c r="K8" s="61"/>
      <c r="M8"/>
      <c r="N8" s="61"/>
      <c r="O8"/>
    </row>
    <row r="9" spans="1:17">
      <c r="B9" s="73" t="s">
        <v>73</v>
      </c>
      <c r="C9" s="1"/>
      <c r="D9" s="28">
        <f>IF(ISNUMBER(A13),C24,0) + IF(ISNUMBER(A25),C32,0) + IF(ISNUMBER(A33),C39,0) + IF(ISNUMBER(A40),C45,0)</f>
        <v>0</v>
      </c>
      <c r="E9" s="28">
        <f>IF(ISNUMBER(A13),D24,0) + IF(ISNUMBER(A25),D32,0) + IF(ISNUMBER(A33),D39,0) + IF(ISNUMBER(A40),D45,0)</f>
        <v>0</v>
      </c>
    </row>
    <row r="10" spans="1:17">
      <c r="E10" s="7"/>
      <c r="F10" s="7"/>
      <c r="G10" s="7"/>
      <c r="H10" s="8"/>
      <c r="I10" s="9"/>
      <c r="J10" s="10"/>
    </row>
    <row r="11" spans="1:17">
      <c r="E11" s="7"/>
      <c r="F11" s="7"/>
      <c r="G11" s="7"/>
      <c r="H11" s="8"/>
      <c r="I11" s="9"/>
      <c r="J11" s="10"/>
    </row>
    <row r="12" spans="1:17" ht="15" thickBot="1">
      <c r="A12" t="s">
        <v>45</v>
      </c>
      <c r="E12" s="7"/>
      <c r="F12" s="7"/>
      <c r="G12" s="7"/>
      <c r="H12" s="8"/>
      <c r="I12" s="9"/>
      <c r="J12" s="10"/>
    </row>
    <row r="13" spans="1:17" ht="15" thickBot="1">
      <c r="A13" s="30"/>
      <c r="B13" s="23" t="s">
        <v>29</v>
      </c>
      <c r="C13" s="16" t="s">
        <v>1</v>
      </c>
      <c r="D13" s="16" t="s">
        <v>2</v>
      </c>
      <c r="E13" s="16" t="s">
        <v>28</v>
      </c>
      <c r="F13" s="53"/>
      <c r="G13" s="12"/>
    </row>
    <row r="14" spans="1:17">
      <c r="B14" s="14" t="s">
        <v>12</v>
      </c>
      <c r="C14" s="14">
        <v>1</v>
      </c>
      <c r="D14" s="14">
        <v>8</v>
      </c>
      <c r="E14" s="14">
        <f>ROUNDUP($A$13/25,0)</f>
        <v>0</v>
      </c>
      <c r="G14" s="10"/>
    </row>
    <row r="15" spans="1:17">
      <c r="B15" s="14" t="s">
        <v>13</v>
      </c>
      <c r="C15" s="14">
        <v>1</v>
      </c>
      <c r="D15" s="14">
        <v>3</v>
      </c>
      <c r="E15" s="14">
        <v>1</v>
      </c>
      <c r="G15" s="10"/>
      <c r="H15" t="s">
        <v>31</v>
      </c>
    </row>
    <row r="16" spans="1:17">
      <c r="B16" s="14" t="s">
        <v>14</v>
      </c>
      <c r="C16" s="14">
        <v>0.1</v>
      </c>
      <c r="D16" s="14">
        <v>0.1</v>
      </c>
      <c r="E16" s="14">
        <v>1</v>
      </c>
      <c r="G16" s="10"/>
      <c r="H16" t="s">
        <v>31</v>
      </c>
    </row>
    <row r="17" spans="1:8">
      <c r="B17" s="14" t="s">
        <v>15</v>
      </c>
      <c r="C17" s="14">
        <v>1</v>
      </c>
      <c r="D17" s="14">
        <v>8</v>
      </c>
      <c r="E17" s="14">
        <f>1+INT($A$13/100) + INT(A40/1000)</f>
        <v>1</v>
      </c>
      <c r="G17" s="10"/>
    </row>
    <row r="18" spans="1:8">
      <c r="B18" s="14" t="s">
        <v>16</v>
      </c>
      <c r="C18" s="14">
        <v>1</v>
      </c>
      <c r="D18" s="14">
        <v>3</v>
      </c>
      <c r="E18" s="14">
        <v>1</v>
      </c>
      <c r="G18" s="10"/>
      <c r="H18" t="s">
        <v>31</v>
      </c>
    </row>
    <row r="19" spans="1:8">
      <c r="B19" s="14" t="s">
        <v>17</v>
      </c>
      <c r="C19" s="14">
        <v>0.1</v>
      </c>
      <c r="D19" s="14">
        <v>0.1</v>
      </c>
      <c r="E19" s="14">
        <v>1</v>
      </c>
      <c r="G19" s="10"/>
      <c r="H19" t="s">
        <v>31</v>
      </c>
    </row>
    <row r="20" spans="1:8">
      <c r="B20" s="14" t="s">
        <v>18</v>
      </c>
      <c r="C20" s="14">
        <v>0.2</v>
      </c>
      <c r="D20" s="14">
        <v>1.5</v>
      </c>
      <c r="E20" s="15">
        <f>ROUNDUP($A$13/25,0)</f>
        <v>0</v>
      </c>
      <c r="G20" s="10"/>
    </row>
    <row r="21" spans="1:8">
      <c r="B21" s="14" t="s">
        <v>19</v>
      </c>
      <c r="C21" s="14">
        <v>0.2</v>
      </c>
      <c r="D21" s="14">
        <v>0.5</v>
      </c>
      <c r="E21" s="14">
        <f>ROUNDUP($A$13/25,0)</f>
        <v>0</v>
      </c>
      <c r="G21" s="10"/>
    </row>
    <row r="22" spans="1:8">
      <c r="B22" s="14" t="s">
        <v>20</v>
      </c>
      <c r="C22" s="14">
        <v>0.25</v>
      </c>
      <c r="D22" s="14">
        <v>0.5</v>
      </c>
      <c r="E22" s="14">
        <f>1+INT($A$13/50) + INT(A40/500)</f>
        <v>1</v>
      </c>
      <c r="G22" s="10"/>
    </row>
    <row r="23" spans="1:8">
      <c r="B23" s="14" t="s">
        <v>21</v>
      </c>
      <c r="C23" s="14">
        <v>0.25</v>
      </c>
      <c r="D23" s="14">
        <v>0.5</v>
      </c>
      <c r="E23" s="14">
        <f>ROUNDUP($A$13/25,0)</f>
        <v>0</v>
      </c>
      <c r="G23" s="10"/>
    </row>
    <row r="24" spans="1:8" ht="15" thickBot="1">
      <c r="A24" t="s">
        <v>45</v>
      </c>
      <c r="C24" s="17">
        <f>SUMPRODUCT(C14:C23,E14:E23)</f>
        <v>3.45</v>
      </c>
      <c r="D24" s="17">
        <f>SUMPRODUCT(D14:D23,E14:E23)</f>
        <v>14.7</v>
      </c>
    </row>
    <row r="25" spans="1:8" ht="15" thickBot="1">
      <c r="A25" s="29"/>
      <c r="B25" s="24" t="s">
        <v>30</v>
      </c>
      <c r="C25" s="16" t="s">
        <v>1</v>
      </c>
      <c r="D25" s="16" t="s">
        <v>2</v>
      </c>
      <c r="E25" s="21" t="s">
        <v>28</v>
      </c>
      <c r="G25" s="12"/>
    </row>
    <row r="26" spans="1:8">
      <c r="B26" s="18" t="s">
        <v>22</v>
      </c>
      <c r="C26" s="14">
        <v>0.3</v>
      </c>
      <c r="D26" s="19">
        <v>1</v>
      </c>
      <c r="E26" s="14">
        <f>ROUNDUP($A$25/25,0)</f>
        <v>0</v>
      </c>
      <c r="G26" s="10"/>
    </row>
    <row r="27" spans="1:8">
      <c r="B27" s="14" t="s">
        <v>23</v>
      </c>
      <c r="C27" s="14">
        <v>1</v>
      </c>
      <c r="D27" s="19">
        <v>4</v>
      </c>
      <c r="E27" s="14">
        <f>1+INT($A$25/100)</f>
        <v>1</v>
      </c>
      <c r="G27" s="10"/>
      <c r="H27" t="s">
        <v>31</v>
      </c>
    </row>
    <row r="28" spans="1:8">
      <c r="B28" s="14" t="s">
        <v>24</v>
      </c>
      <c r="C28" s="14">
        <v>0.5</v>
      </c>
      <c r="D28" s="19">
        <v>0.5</v>
      </c>
      <c r="E28" s="14">
        <v>1</v>
      </c>
      <c r="G28" s="10"/>
    </row>
    <row r="29" spans="1:8">
      <c r="B29" s="14" t="s">
        <v>25</v>
      </c>
      <c r="C29" s="14">
        <v>0.5</v>
      </c>
      <c r="D29" s="19">
        <v>2</v>
      </c>
      <c r="E29" s="14">
        <f>ROUNDUP($A$25/25,0)</f>
        <v>0</v>
      </c>
      <c r="G29" s="10"/>
    </row>
    <row r="30" spans="1:8">
      <c r="B30" s="14" t="s">
        <v>26</v>
      </c>
      <c r="C30" s="14">
        <v>0.3</v>
      </c>
      <c r="D30" s="19">
        <v>2</v>
      </c>
      <c r="E30" s="14">
        <f>ROUNDUP($A$25/25,0)</f>
        <v>0</v>
      </c>
      <c r="G30" s="10"/>
    </row>
    <row r="31" spans="1:8">
      <c r="B31" s="14" t="s">
        <v>27</v>
      </c>
      <c r="C31" s="14">
        <v>0.3</v>
      </c>
      <c r="D31" s="19">
        <v>1</v>
      </c>
      <c r="E31" s="14">
        <f>ROUNDUP($A$25/25,0)</f>
        <v>0</v>
      </c>
      <c r="G31" s="10"/>
    </row>
    <row r="32" spans="1:8" ht="15" thickBot="1">
      <c r="A32" t="s">
        <v>38</v>
      </c>
      <c r="C32" s="17">
        <f>SUMPRODUCT(C26:C31,E26:E31)</f>
        <v>1.5</v>
      </c>
      <c r="D32" s="17">
        <f>SUMPRODUCT(D26:D31,E26:E31)</f>
        <v>4.5</v>
      </c>
    </row>
    <row r="33" spans="1:8" ht="15" thickBot="1">
      <c r="A33" s="29"/>
      <c r="B33" s="25" t="s">
        <v>33</v>
      </c>
      <c r="C33" s="16" t="s">
        <v>1</v>
      </c>
      <c r="D33" s="16" t="s">
        <v>2</v>
      </c>
      <c r="E33" s="22" t="s">
        <v>28</v>
      </c>
      <c r="G33" s="10"/>
    </row>
    <row r="34" spans="1:8">
      <c r="B34" s="20" t="s">
        <v>19</v>
      </c>
      <c r="C34" s="14">
        <v>6.0000000000000001E-3</v>
      </c>
      <c r="D34" s="14">
        <v>0.05</v>
      </c>
      <c r="E34" s="14">
        <f>ROUNDUP($A$33/25,0)</f>
        <v>0</v>
      </c>
      <c r="G34" s="10"/>
    </row>
    <row r="35" spans="1:8">
      <c r="B35" s="20" t="s">
        <v>33</v>
      </c>
      <c r="C35" s="14">
        <v>0.3</v>
      </c>
      <c r="D35" s="19">
        <v>1</v>
      </c>
      <c r="E35" s="14">
        <v>1</v>
      </c>
      <c r="G35" s="10"/>
    </row>
    <row r="36" spans="1:8">
      <c r="B36" s="20" t="s">
        <v>34</v>
      </c>
      <c r="C36" s="14">
        <v>0.09</v>
      </c>
      <c r="D36" s="19">
        <v>0.3</v>
      </c>
      <c r="E36" s="14">
        <f>ROUNDUP($A$33/25,0)</f>
        <v>0</v>
      </c>
      <c r="G36" s="10"/>
    </row>
    <row r="37" spans="1:8">
      <c r="B37" s="14" t="s">
        <v>35</v>
      </c>
      <c r="C37" s="14">
        <v>4</v>
      </c>
      <c r="D37" s="19">
        <v>6</v>
      </c>
      <c r="E37" s="14">
        <v>1</v>
      </c>
      <c r="H37" t="s">
        <v>37</v>
      </c>
    </row>
    <row r="38" spans="1:8">
      <c r="B38" s="14" t="s">
        <v>36</v>
      </c>
      <c r="C38" s="14">
        <v>0.5</v>
      </c>
      <c r="D38" s="19">
        <v>8</v>
      </c>
      <c r="E38" s="14">
        <v>1</v>
      </c>
      <c r="G38" s="13"/>
    </row>
    <row r="39" spans="1:8" ht="15" thickBot="1">
      <c r="A39" t="s">
        <v>38</v>
      </c>
      <c r="C39" s="17">
        <f>SUMPRODUCT(C34:C38,E34:E38)</f>
        <v>4.8</v>
      </c>
      <c r="D39" s="17">
        <f>SUMPRODUCT(D34:D38,E34:E38)</f>
        <v>15</v>
      </c>
    </row>
    <row r="40" spans="1:8" ht="15" thickBot="1">
      <c r="A40" s="29"/>
      <c r="B40" s="25" t="s">
        <v>40</v>
      </c>
      <c r="C40" s="16" t="s">
        <v>1</v>
      </c>
      <c r="D40" s="16" t="s">
        <v>2</v>
      </c>
      <c r="E40" s="22" t="s">
        <v>28</v>
      </c>
    </row>
    <row r="41" spans="1:8">
      <c r="B41" s="20" t="s">
        <v>19</v>
      </c>
      <c r="C41" s="14">
        <v>6.0000000000000001E-3</v>
      </c>
      <c r="D41" s="14">
        <v>0.05</v>
      </c>
      <c r="E41" s="14">
        <f>ROUNDUP($A$40/100,0)</f>
        <v>0</v>
      </c>
    </row>
    <row r="42" spans="1:8">
      <c r="B42" s="14" t="s">
        <v>22</v>
      </c>
      <c r="C42" s="14">
        <v>0.01</v>
      </c>
      <c r="D42" s="19">
        <v>0.06</v>
      </c>
      <c r="E42" s="14">
        <f>ROUNDUP($A$40/100,0)</f>
        <v>0</v>
      </c>
    </row>
    <row r="43" spans="1:8">
      <c r="B43" s="14" t="s">
        <v>41</v>
      </c>
      <c r="C43" s="14">
        <v>0.5</v>
      </c>
      <c r="D43" s="19">
        <v>2</v>
      </c>
      <c r="E43" s="14">
        <v>1</v>
      </c>
      <c r="H43" t="s">
        <v>31</v>
      </c>
    </row>
    <row r="44" spans="1:8">
      <c r="B44" s="14" t="s">
        <v>42</v>
      </c>
      <c r="C44" s="14">
        <v>0.5</v>
      </c>
      <c r="D44" s="19">
        <v>2</v>
      </c>
      <c r="E44" s="14">
        <v>1</v>
      </c>
      <c r="H44" t="s">
        <v>31</v>
      </c>
    </row>
    <row r="45" spans="1:8">
      <c r="C45" s="17">
        <f>SUMPRODUCT(C41:C44,E41:E44)</f>
        <v>1</v>
      </c>
      <c r="D45" s="17">
        <f>SUMPRODUCT(D41:D44,E41:E44)</f>
        <v>4</v>
      </c>
    </row>
  </sheetData>
  <mergeCells count="9">
    <mergeCell ref="P4:P5"/>
    <mergeCell ref="Q4:Q5"/>
    <mergeCell ref="J4:K4"/>
    <mergeCell ref="L4:M4"/>
    <mergeCell ref="N4:O4"/>
    <mergeCell ref="H4:I4"/>
    <mergeCell ref="B2:G2"/>
    <mergeCell ref="G4:G5"/>
    <mergeCell ref="F4:F5"/>
  </mergeCells>
  <dataValidations count="1">
    <dataValidation type="custom" operator="greaterThanOrEqual" showInputMessage="1" showErrorMessage="1" error="Введіть к-сть ліцензій у клітинці A13" sqref="A13">
      <formula1>A1&lt;&gt;""</formula1>
    </dataValidation>
  </dataValidations>
  <pageMargins left="0.7" right="0.7" top="0.75" bottom="0.75" header="0.3" footer="0.3"/>
  <pageSetup paperSize="9" orientation="portrait" r:id="rId1"/>
  <ignoredErrors>
    <ignoredError sqref="E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G14" sqref="G14"/>
    </sheetView>
  </sheetViews>
  <sheetFormatPr defaultRowHeight="14.4"/>
  <cols>
    <col min="1" max="1" width="17.44140625" customWidth="1"/>
    <col min="2" max="2" width="38.109375" customWidth="1"/>
    <col min="3" max="3" width="9.44140625" customWidth="1"/>
    <col min="4" max="4" width="10.21875" customWidth="1"/>
    <col min="5" max="5" width="11.77734375" customWidth="1"/>
    <col min="6" max="6" width="9.44140625" customWidth="1"/>
    <col min="7" max="7" width="18.88671875" customWidth="1"/>
    <col min="8" max="8" width="18.5546875" customWidth="1"/>
    <col min="10" max="10" width="5.109375" customWidth="1"/>
    <col min="12" max="12" width="11.109375" customWidth="1"/>
    <col min="14" max="14" width="8.5546875" customWidth="1"/>
    <col min="16" max="16" width="8.88671875" customWidth="1"/>
    <col min="17" max="17" width="11.77734375" customWidth="1"/>
    <col min="18" max="18" width="11.33203125" customWidth="1"/>
  </cols>
  <sheetData>
    <row r="1" spans="1:17">
      <c r="A1" s="36" t="s">
        <v>43</v>
      </c>
    </row>
    <row r="2" spans="1:17">
      <c r="B2" s="94" t="s">
        <v>32</v>
      </c>
      <c r="C2" s="94"/>
      <c r="D2" s="94"/>
      <c r="E2" s="94"/>
      <c r="F2" s="94"/>
      <c r="G2" s="94"/>
    </row>
    <row r="4" spans="1:17">
      <c r="B4" s="52" t="s">
        <v>58</v>
      </c>
      <c r="C4" s="43"/>
      <c r="D4" s="43" t="s">
        <v>1</v>
      </c>
      <c r="E4" s="44" t="s">
        <v>53</v>
      </c>
      <c r="F4" s="95" t="s">
        <v>28</v>
      </c>
      <c r="G4" s="95" t="s">
        <v>3</v>
      </c>
      <c r="H4" s="92" t="s">
        <v>60</v>
      </c>
      <c r="I4" s="93"/>
      <c r="J4" s="99" t="s">
        <v>61</v>
      </c>
      <c r="K4" s="99"/>
      <c r="L4" s="99" t="s">
        <v>62</v>
      </c>
      <c r="M4" s="99"/>
      <c r="N4" s="99" t="s">
        <v>63</v>
      </c>
      <c r="O4" s="99"/>
      <c r="P4" s="97" t="s">
        <v>74</v>
      </c>
      <c r="Q4" s="98" t="s">
        <v>59</v>
      </c>
    </row>
    <row r="5" spans="1:17" ht="15" thickBot="1">
      <c r="A5" t="s">
        <v>55</v>
      </c>
      <c r="B5" s="52" t="s">
        <v>57</v>
      </c>
      <c r="C5" s="43" t="s">
        <v>4</v>
      </c>
      <c r="D5" s="43" t="s">
        <v>5</v>
      </c>
      <c r="E5" s="43" t="s">
        <v>6</v>
      </c>
      <c r="F5" s="96"/>
      <c r="G5" s="96"/>
      <c r="H5" s="66" t="s">
        <v>7</v>
      </c>
      <c r="I5" s="66" t="s">
        <v>6</v>
      </c>
      <c r="J5" s="66" t="s">
        <v>7</v>
      </c>
      <c r="K5" s="66" t="s">
        <v>6</v>
      </c>
      <c r="L5" s="66" t="s">
        <v>7</v>
      </c>
      <c r="M5" s="66" t="s">
        <v>6</v>
      </c>
      <c r="N5" s="66" t="s">
        <v>7</v>
      </c>
      <c r="O5" s="66" t="s">
        <v>6</v>
      </c>
      <c r="P5" s="97"/>
      <c r="Q5" s="98"/>
    </row>
    <row r="6" spans="1:17" ht="15" thickBot="1">
      <c r="A6" s="51"/>
      <c r="B6" s="47" t="s">
        <v>54</v>
      </c>
      <c r="C6" s="43" t="s">
        <v>9</v>
      </c>
      <c r="D6" s="43" t="str">
        <f>IFERROR(VLOOKUP(A6,MSSQL!A17:G29,3,TRUE),"0")</f>
        <v>0</v>
      </c>
      <c r="E6" s="45" t="str">
        <f>IFERROR(VLOOKUP(A6,MSSQL!A17:G29,5,TRUE),"0")</f>
        <v>0</v>
      </c>
      <c r="F6" s="45">
        <v>1</v>
      </c>
      <c r="G6" s="46" t="s">
        <v>56</v>
      </c>
      <c r="H6" s="67" t="s">
        <v>11</v>
      </c>
      <c r="I6" s="66">
        <v>150</v>
      </c>
      <c r="J6" s="67" t="s">
        <v>11</v>
      </c>
      <c r="K6" s="65" t="s">
        <v>85</v>
      </c>
      <c r="L6" s="67" t="s">
        <v>11</v>
      </c>
      <c r="M6" s="65" t="s">
        <v>64</v>
      </c>
      <c r="N6" s="66" t="s">
        <v>84</v>
      </c>
      <c r="O6" s="65" t="s">
        <v>65</v>
      </c>
      <c r="P6" s="65" t="str">
        <f>IFERROR(VLOOKUP(A6,MSSQL!A17:G29,6,TRUE),"0")</f>
        <v>0</v>
      </c>
      <c r="Q6" s="65" t="str">
        <f>IFERROR(VLOOKUP(A6,MSSQL!A17:G29,7,TRUE),"0")</f>
        <v>0</v>
      </c>
    </row>
    <row r="7" spans="1:17" ht="15" thickBot="1">
      <c r="B7" s="2" t="s">
        <v>8</v>
      </c>
      <c r="C7" s="3" t="s">
        <v>9</v>
      </c>
      <c r="D7" s="27">
        <v>4</v>
      </c>
      <c r="E7" s="48">
        <v>6</v>
      </c>
      <c r="F7" s="4">
        <v>1</v>
      </c>
      <c r="G7" s="4" t="s">
        <v>10</v>
      </c>
      <c r="H7" s="3" t="s">
        <v>11</v>
      </c>
      <c r="I7" s="68">
        <v>100</v>
      </c>
    </row>
    <row r="8" spans="1:17" ht="15" thickBot="1">
      <c r="B8" s="5" t="s">
        <v>39</v>
      </c>
      <c r="C8" s="26" t="s">
        <v>9</v>
      </c>
      <c r="D8" s="29">
        <v>8</v>
      </c>
      <c r="E8" s="55">
        <v>32</v>
      </c>
      <c r="F8" s="54">
        <f>MAX(1,MAX(CEILING(D9/D8,1),CEILING(E9/E8,1)))</f>
        <v>1</v>
      </c>
      <c r="G8" s="6" t="s">
        <v>10</v>
      </c>
      <c r="H8" s="31" t="s">
        <v>11</v>
      </c>
      <c r="I8" s="65">
        <v>200</v>
      </c>
    </row>
    <row r="9" spans="1:17">
      <c r="B9" s="73" t="s">
        <v>73</v>
      </c>
      <c r="C9" s="31"/>
      <c r="D9" s="28">
        <f>IF(ISNUMBER(A13),C24,0) + IF(ISNUMBER(A25),C32,0) + IF(ISNUMBER(A33),C39,0) + IF(ISNUMBER(A40),C45,0)</f>
        <v>0</v>
      </c>
      <c r="E9" s="6">
        <f>IF(ISNUMBER(A13),D24,0) + IF(ISNUMBER(A25),D32,0) + IF(ISNUMBER(A33),D39,0) + IF(ISNUMBER(A40),D45,0)</f>
        <v>0</v>
      </c>
    </row>
    <row r="10" spans="1:17">
      <c r="E10" s="7"/>
      <c r="F10" s="7"/>
      <c r="G10" s="7"/>
      <c r="H10" s="8"/>
      <c r="I10" s="9"/>
      <c r="J10" s="10"/>
    </row>
    <row r="11" spans="1:17">
      <c r="E11" s="7"/>
      <c r="F11" s="7"/>
      <c r="G11" s="7"/>
      <c r="H11" s="8"/>
      <c r="I11" s="9"/>
      <c r="J11" s="10"/>
    </row>
    <row r="12" spans="1:17" ht="15" thickBot="1">
      <c r="A12" t="s">
        <v>45</v>
      </c>
      <c r="E12" s="7"/>
      <c r="F12" s="7"/>
      <c r="G12" s="7"/>
      <c r="H12" s="8"/>
      <c r="I12" s="9"/>
      <c r="J12" s="10"/>
    </row>
    <row r="13" spans="1:17" ht="15" thickBot="1">
      <c r="A13" s="30"/>
      <c r="B13" s="23" t="s">
        <v>29</v>
      </c>
      <c r="C13" s="16" t="s">
        <v>1</v>
      </c>
      <c r="D13" s="16" t="s">
        <v>2</v>
      </c>
      <c r="E13" s="16" t="s">
        <v>28</v>
      </c>
      <c r="G13" s="12"/>
    </row>
    <row r="14" spans="1:17">
      <c r="B14" s="32" t="s">
        <v>12</v>
      </c>
      <c r="C14" s="32">
        <v>1.3</v>
      </c>
      <c r="D14" s="32">
        <v>10</v>
      </c>
      <c r="E14" s="32">
        <f>ROUNDUP($A$13/25,0)</f>
        <v>0</v>
      </c>
      <c r="G14" s="10"/>
    </row>
    <row r="15" spans="1:17">
      <c r="B15" s="32" t="s">
        <v>13</v>
      </c>
      <c r="C15" s="32">
        <v>1</v>
      </c>
      <c r="D15" s="32">
        <v>5</v>
      </c>
      <c r="E15" s="32">
        <v>1</v>
      </c>
      <c r="G15" s="10"/>
      <c r="H15" t="s">
        <v>31</v>
      </c>
    </row>
    <row r="16" spans="1:17">
      <c r="B16" s="32" t="s">
        <v>14</v>
      </c>
      <c r="C16" s="32">
        <v>0.2</v>
      </c>
      <c r="D16" s="32">
        <v>0.2</v>
      </c>
      <c r="E16" s="32">
        <v>1</v>
      </c>
      <c r="G16" s="10"/>
      <c r="H16" t="s">
        <v>31</v>
      </c>
    </row>
    <row r="17" spans="1:8">
      <c r="B17" s="32" t="s">
        <v>15</v>
      </c>
      <c r="C17" s="32">
        <v>1.3</v>
      </c>
      <c r="D17" s="32">
        <v>10</v>
      </c>
      <c r="E17" s="32">
        <f>1+INT($A$13/100) + INT(A40/1000)</f>
        <v>1</v>
      </c>
      <c r="G17" s="10"/>
    </row>
    <row r="18" spans="1:8">
      <c r="B18" s="32" t="s">
        <v>16</v>
      </c>
      <c r="C18" s="32">
        <v>1</v>
      </c>
      <c r="D18" s="32">
        <v>5</v>
      </c>
      <c r="E18" s="32">
        <v>1</v>
      </c>
      <c r="G18" s="10"/>
      <c r="H18" t="s">
        <v>31</v>
      </c>
    </row>
    <row r="19" spans="1:8">
      <c r="B19" s="32" t="s">
        <v>17</v>
      </c>
      <c r="C19" s="32">
        <v>0.2</v>
      </c>
      <c r="D19" s="32">
        <v>0.2</v>
      </c>
      <c r="E19" s="32">
        <v>1</v>
      </c>
      <c r="G19" s="10"/>
      <c r="H19" t="s">
        <v>31</v>
      </c>
    </row>
    <row r="20" spans="1:8">
      <c r="B20" s="32" t="s">
        <v>18</v>
      </c>
      <c r="C20" s="32">
        <v>0.2</v>
      </c>
      <c r="D20" s="32">
        <v>1.5</v>
      </c>
      <c r="E20" s="33">
        <f>ROUNDUP($A$13/25,0)</f>
        <v>0</v>
      </c>
      <c r="G20" s="10"/>
    </row>
    <row r="21" spans="1:8">
      <c r="B21" s="32" t="s">
        <v>19</v>
      </c>
      <c r="C21" s="32">
        <v>0.2</v>
      </c>
      <c r="D21" s="32">
        <v>0.5</v>
      </c>
      <c r="E21" s="32">
        <f>ROUNDUP($A$13/25,0)</f>
        <v>0</v>
      </c>
      <c r="G21" s="10"/>
    </row>
    <row r="22" spans="1:8">
      <c r="B22" s="32" t="s">
        <v>20</v>
      </c>
      <c r="C22" s="32">
        <v>0.35</v>
      </c>
      <c r="D22" s="32">
        <v>0.6</v>
      </c>
      <c r="E22" s="32">
        <f>1+INT($A$13/50) + INT(A40/500)</f>
        <v>1</v>
      </c>
      <c r="G22" s="10"/>
    </row>
    <row r="23" spans="1:8">
      <c r="B23" s="32" t="s">
        <v>21</v>
      </c>
      <c r="C23" s="32">
        <v>0.25</v>
      </c>
      <c r="D23" s="32">
        <v>0.5</v>
      </c>
      <c r="E23" s="32">
        <f>ROUNDUP($A$13/25,0)</f>
        <v>0</v>
      </c>
      <c r="G23" s="10"/>
    </row>
    <row r="24" spans="1:8" ht="15" thickBot="1">
      <c r="A24" t="s">
        <v>45</v>
      </c>
      <c r="C24" s="36">
        <f>SUMPRODUCT(C14:C23,E14:E23)</f>
        <v>4.05</v>
      </c>
      <c r="D24" s="36">
        <f>SUMPRODUCT(D14:D23,E14:E23)</f>
        <v>21</v>
      </c>
    </row>
    <row r="25" spans="1:8" ht="15" thickBot="1">
      <c r="A25" s="29"/>
      <c r="B25" s="24" t="s">
        <v>30</v>
      </c>
      <c r="C25" s="16" t="s">
        <v>1</v>
      </c>
      <c r="D25" s="16" t="s">
        <v>2</v>
      </c>
      <c r="E25" s="21" t="s">
        <v>28</v>
      </c>
      <c r="G25" s="12"/>
    </row>
    <row r="26" spans="1:8">
      <c r="B26" s="34" t="s">
        <v>22</v>
      </c>
      <c r="C26" s="32">
        <v>0.3</v>
      </c>
      <c r="D26" s="35">
        <v>1</v>
      </c>
      <c r="E26" s="32">
        <f>ROUNDUP($A$25/25,0)</f>
        <v>0</v>
      </c>
      <c r="G26" s="10"/>
    </row>
    <row r="27" spans="1:8">
      <c r="B27" s="32" t="s">
        <v>23</v>
      </c>
      <c r="C27" s="32">
        <v>1</v>
      </c>
      <c r="D27" s="35">
        <v>4</v>
      </c>
      <c r="E27" s="32">
        <f>1+INT($A$25/100)</f>
        <v>1</v>
      </c>
      <c r="G27" s="10"/>
      <c r="H27" t="s">
        <v>31</v>
      </c>
    </row>
    <row r="28" spans="1:8">
      <c r="B28" s="32" t="s">
        <v>24</v>
      </c>
      <c r="C28" s="32">
        <v>0.5</v>
      </c>
      <c r="D28" s="35">
        <v>0.5</v>
      </c>
      <c r="E28" s="32">
        <v>1</v>
      </c>
      <c r="G28" s="10"/>
    </row>
    <row r="29" spans="1:8">
      <c r="B29" s="32" t="s">
        <v>25</v>
      </c>
      <c r="C29" s="32">
        <v>0.5</v>
      </c>
      <c r="D29" s="35">
        <v>2</v>
      </c>
      <c r="E29" s="32">
        <f>ROUNDUP($A$25/25,0)</f>
        <v>0</v>
      </c>
      <c r="G29" s="10"/>
    </row>
    <row r="30" spans="1:8">
      <c r="B30" s="32" t="s">
        <v>26</v>
      </c>
      <c r="C30" s="32">
        <v>0.3</v>
      </c>
      <c r="D30" s="35">
        <v>2</v>
      </c>
      <c r="E30" s="32">
        <f>ROUNDUP($A$25/25,0)</f>
        <v>0</v>
      </c>
      <c r="G30" s="10"/>
    </row>
    <row r="31" spans="1:8">
      <c r="B31" s="32" t="s">
        <v>27</v>
      </c>
      <c r="C31" s="32">
        <v>0.3</v>
      </c>
      <c r="D31" s="35">
        <v>1</v>
      </c>
      <c r="E31" s="32">
        <f>ROUNDUP($A$25/25,0)</f>
        <v>0</v>
      </c>
      <c r="G31" s="10"/>
    </row>
    <row r="32" spans="1:8" ht="15" thickBot="1">
      <c r="A32" t="s">
        <v>38</v>
      </c>
      <c r="C32" s="36">
        <f>SUMPRODUCT(C26:C31,E26:E31)</f>
        <v>1.5</v>
      </c>
      <c r="D32" s="36">
        <f>SUMPRODUCT(D26:D31,E26:E31)</f>
        <v>4.5</v>
      </c>
    </row>
    <row r="33" spans="1:8" ht="15" thickBot="1">
      <c r="A33" s="29"/>
      <c r="B33" s="25" t="s">
        <v>33</v>
      </c>
      <c r="C33" s="16" t="s">
        <v>1</v>
      </c>
      <c r="D33" s="16" t="s">
        <v>2</v>
      </c>
      <c r="E33" s="22" t="s">
        <v>28</v>
      </c>
      <c r="G33" s="10"/>
    </row>
    <row r="34" spans="1:8">
      <c r="B34" s="37" t="s">
        <v>19</v>
      </c>
      <c r="C34" s="69">
        <v>6.0000000000000001E-3</v>
      </c>
      <c r="D34" s="69">
        <v>0.05</v>
      </c>
      <c r="E34" s="32">
        <f>ROUNDUP($A$33/25,0)</f>
        <v>0</v>
      </c>
      <c r="G34" s="10"/>
    </row>
    <row r="35" spans="1:8">
      <c r="B35" s="37" t="s">
        <v>33</v>
      </c>
      <c r="C35" s="32">
        <v>0.3</v>
      </c>
      <c r="D35" s="35">
        <v>1</v>
      </c>
      <c r="E35" s="32">
        <v>1</v>
      </c>
      <c r="G35" s="10"/>
    </row>
    <row r="36" spans="1:8">
      <c r="B36" s="37" t="s">
        <v>34</v>
      </c>
      <c r="C36" s="32">
        <v>0.09</v>
      </c>
      <c r="D36" s="35">
        <v>0.3</v>
      </c>
      <c r="E36" s="32">
        <f>ROUNDUP($A$33/25,0)</f>
        <v>0</v>
      </c>
      <c r="G36" s="10"/>
    </row>
    <row r="37" spans="1:8">
      <c r="B37" s="32" t="s">
        <v>35</v>
      </c>
      <c r="C37" s="32">
        <v>4</v>
      </c>
      <c r="D37" s="35">
        <v>6</v>
      </c>
      <c r="E37" s="32">
        <v>1</v>
      </c>
      <c r="H37" t="s">
        <v>37</v>
      </c>
    </row>
    <row r="38" spans="1:8">
      <c r="B38" s="32" t="s">
        <v>36</v>
      </c>
      <c r="C38" s="32">
        <v>0.5</v>
      </c>
      <c r="D38" s="35">
        <v>8</v>
      </c>
      <c r="E38" s="32">
        <v>1</v>
      </c>
      <c r="G38" s="13"/>
    </row>
    <row r="39" spans="1:8" ht="15" thickBot="1">
      <c r="A39" t="s">
        <v>38</v>
      </c>
      <c r="C39" s="36">
        <f>SUMPRODUCT(C34:C38,E34:E38)</f>
        <v>4.8</v>
      </c>
      <c r="D39" s="36">
        <f>SUMPRODUCT(D34:D38,E34:E38)</f>
        <v>15</v>
      </c>
    </row>
    <row r="40" spans="1:8" ht="15" thickBot="1">
      <c r="A40" s="29"/>
      <c r="B40" s="25" t="s">
        <v>40</v>
      </c>
      <c r="C40" s="16" t="s">
        <v>1</v>
      </c>
      <c r="D40" s="16" t="s">
        <v>2</v>
      </c>
      <c r="E40" s="22" t="s">
        <v>28</v>
      </c>
    </row>
    <row r="41" spans="1:8">
      <c r="B41" s="37" t="s">
        <v>19</v>
      </c>
      <c r="C41" s="32">
        <v>6.0000000000000001E-3</v>
      </c>
      <c r="D41" s="32">
        <v>0.05</v>
      </c>
      <c r="E41" s="32">
        <f>ROUNDUP($A$40/100,0)</f>
        <v>0</v>
      </c>
    </row>
    <row r="42" spans="1:8">
      <c r="B42" s="32" t="s">
        <v>22</v>
      </c>
      <c r="C42" s="32">
        <v>0.01</v>
      </c>
      <c r="D42" s="35">
        <v>0.06</v>
      </c>
      <c r="E42" s="32">
        <f>ROUNDUP($A$40/100,0)</f>
        <v>0</v>
      </c>
    </row>
    <row r="43" spans="1:8">
      <c r="B43" s="32" t="s">
        <v>41</v>
      </c>
      <c r="C43" s="32">
        <v>0.5</v>
      </c>
      <c r="D43" s="35">
        <v>2</v>
      </c>
      <c r="E43" s="32">
        <v>1</v>
      </c>
      <c r="H43" t="s">
        <v>31</v>
      </c>
    </row>
    <row r="44" spans="1:8">
      <c r="B44" s="32" t="s">
        <v>42</v>
      </c>
      <c r="C44" s="32">
        <v>0.5</v>
      </c>
      <c r="D44" s="35">
        <v>2</v>
      </c>
      <c r="E44" s="32">
        <v>1</v>
      </c>
      <c r="H44" t="s">
        <v>31</v>
      </c>
    </row>
    <row r="45" spans="1:8">
      <c r="C45" s="36">
        <f>SUMPRODUCT(C41:C44,E41:E44)</f>
        <v>1</v>
      </c>
      <c r="D45" s="36">
        <f>SUMPRODUCT(D41:D44,E41:E44)</f>
        <v>4</v>
      </c>
    </row>
  </sheetData>
  <mergeCells count="9">
    <mergeCell ref="L4:M4"/>
    <mergeCell ref="N4:O4"/>
    <mergeCell ref="P4:P5"/>
    <mergeCell ref="Q4:Q5"/>
    <mergeCell ref="B2:G2"/>
    <mergeCell ref="F4:F5"/>
    <mergeCell ref="G4:G5"/>
    <mergeCell ref="H4:I4"/>
    <mergeCell ref="J4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I18" sqref="I18"/>
    </sheetView>
  </sheetViews>
  <sheetFormatPr defaultRowHeight="14.4"/>
  <cols>
    <col min="1" max="1" width="13.109375" customWidth="1"/>
    <col min="2" max="2" width="12.5546875" customWidth="1"/>
    <col min="3" max="3" width="10.44140625" customWidth="1"/>
    <col min="4" max="4" width="9.5546875" customWidth="1"/>
    <col min="5" max="5" width="8.44140625" customWidth="1"/>
    <col min="6" max="6" width="9.5546875" style="64" customWidth="1"/>
    <col min="7" max="7" width="7.6640625" style="64" customWidth="1"/>
    <col min="8" max="8" width="14.44140625" customWidth="1"/>
    <col min="9" max="9" width="16" customWidth="1"/>
    <col min="10" max="10" width="12.33203125" customWidth="1"/>
    <col min="11" max="11" width="12.77734375" customWidth="1"/>
    <col min="12" max="12" width="11.77734375" customWidth="1"/>
    <col min="14" max="14" width="12.5546875" customWidth="1"/>
  </cols>
  <sheetData>
    <row r="1" spans="1:14" ht="15" thickBot="1">
      <c r="A1" s="57" t="s">
        <v>46</v>
      </c>
      <c r="B1" s="57" t="s">
        <v>47</v>
      </c>
      <c r="C1" s="57" t="s">
        <v>48</v>
      </c>
      <c r="D1" s="57" t="s">
        <v>49</v>
      </c>
      <c r="E1" s="57" t="s">
        <v>50</v>
      </c>
      <c r="F1" s="41" t="s">
        <v>72</v>
      </c>
      <c r="G1" s="41" t="s">
        <v>67</v>
      </c>
      <c r="H1" s="14" t="s">
        <v>44</v>
      </c>
      <c r="I1" s="42" t="s">
        <v>51</v>
      </c>
      <c r="J1" s="42" t="s">
        <v>1</v>
      </c>
      <c r="K1" s="42" t="s">
        <v>52</v>
      </c>
      <c r="L1" s="42" t="s">
        <v>53</v>
      </c>
      <c r="M1" s="42" t="s">
        <v>66</v>
      </c>
      <c r="N1" s="74" t="s">
        <v>67</v>
      </c>
    </row>
    <row r="2" spans="1:14" ht="15" thickBot="1">
      <c r="A2" s="70">
        <v>1</v>
      </c>
      <c r="B2" s="70">
        <v>10</v>
      </c>
      <c r="C2" s="70">
        <v>2</v>
      </c>
      <c r="D2" s="70">
        <v>4</v>
      </c>
      <c r="E2" s="70">
        <v>8</v>
      </c>
      <c r="F2" s="70">
        <v>200</v>
      </c>
      <c r="G2" s="71">
        <v>8</v>
      </c>
      <c r="I2" s="59"/>
      <c r="J2" s="14" t="str">
        <f>IFERROR(VLOOKUP(I2,A2:G13,3,TRUE),"Немає даних")</f>
        <v>Немає даних</v>
      </c>
      <c r="K2" s="14" t="str">
        <f>IFERROR(VLOOKUP(I2,A2:G13,4,TRUE),"Немає даних")</f>
        <v>Немає даних</v>
      </c>
      <c r="L2" s="14" t="str">
        <f>IFERROR(VLOOKUP(I2,A2:G13,5,TRUE),"Немає даних")</f>
        <v>Немає даних</v>
      </c>
      <c r="M2" s="14" t="str">
        <f>IFERROR(VLOOKUP(I2,A2:G13,6,TRUE),"Немає даних")</f>
        <v>Немає даних</v>
      </c>
      <c r="N2" s="14" t="str">
        <f>IFERROR(VLOOKUP(I2,A2:G13,7,TRUE),"Немає даних")</f>
        <v>Немає даних</v>
      </c>
    </row>
    <row r="3" spans="1:14">
      <c r="A3" s="70">
        <v>11</v>
      </c>
      <c r="B3" s="70">
        <v>25</v>
      </c>
      <c r="C3" s="70">
        <v>4</v>
      </c>
      <c r="D3" s="70">
        <v>8</v>
      </c>
      <c r="E3" s="70">
        <v>12</v>
      </c>
      <c r="F3" s="70">
        <v>250</v>
      </c>
      <c r="G3" s="71">
        <v>7</v>
      </c>
    </row>
    <row r="4" spans="1:14">
      <c r="A4" s="70">
        <v>26</v>
      </c>
      <c r="B4" s="70">
        <v>50</v>
      </c>
      <c r="C4" s="70">
        <v>6</v>
      </c>
      <c r="D4" s="70">
        <v>16</v>
      </c>
      <c r="E4" s="70">
        <v>24</v>
      </c>
      <c r="F4" s="70">
        <v>300</v>
      </c>
      <c r="G4" s="71">
        <v>5</v>
      </c>
    </row>
    <row r="5" spans="1:14">
      <c r="A5" s="70">
        <v>51</v>
      </c>
      <c r="B5" s="70">
        <v>100</v>
      </c>
      <c r="C5" s="70">
        <v>8</v>
      </c>
      <c r="D5" s="70">
        <v>32</v>
      </c>
      <c r="E5" s="70">
        <v>48</v>
      </c>
      <c r="F5" s="70">
        <v>500</v>
      </c>
      <c r="G5" s="71">
        <v>4</v>
      </c>
    </row>
    <row r="6" spans="1:14">
      <c r="A6" s="70">
        <v>101</v>
      </c>
      <c r="B6" s="70">
        <v>200</v>
      </c>
      <c r="C6" s="70">
        <v>10</v>
      </c>
      <c r="D6" s="70">
        <v>64</v>
      </c>
      <c r="E6" s="70">
        <v>96</v>
      </c>
      <c r="F6" s="70">
        <v>800</v>
      </c>
      <c r="G6" s="71">
        <v>3</v>
      </c>
    </row>
    <row r="7" spans="1:14">
      <c r="A7" s="70">
        <v>201</v>
      </c>
      <c r="B7" s="70">
        <v>350</v>
      </c>
      <c r="C7" s="70">
        <v>12</v>
      </c>
      <c r="D7" s="70">
        <v>112</v>
      </c>
      <c r="E7" s="70">
        <v>168</v>
      </c>
      <c r="F7" s="70">
        <v>1400</v>
      </c>
      <c r="G7" s="71">
        <v>2</v>
      </c>
    </row>
    <row r="8" spans="1:14">
      <c r="A8" s="70">
        <v>351</v>
      </c>
      <c r="B8" s="70">
        <v>500</v>
      </c>
      <c r="C8" s="70">
        <v>16</v>
      </c>
      <c r="D8" s="70">
        <v>168</v>
      </c>
      <c r="E8" s="70">
        <v>240</v>
      </c>
      <c r="F8" s="70">
        <v>2000</v>
      </c>
      <c r="G8" s="71">
        <v>1</v>
      </c>
    </row>
    <row r="9" spans="1:14">
      <c r="A9" s="70">
        <v>501</v>
      </c>
      <c r="B9" s="70">
        <v>1000</v>
      </c>
      <c r="C9" s="70">
        <v>20</v>
      </c>
      <c r="D9" s="70">
        <v>240</v>
      </c>
      <c r="E9" s="70">
        <v>384</v>
      </c>
      <c r="F9" s="70">
        <v>4000</v>
      </c>
      <c r="G9" s="71" t="s">
        <v>68</v>
      </c>
    </row>
    <row r="10" spans="1:14">
      <c r="A10" s="70">
        <v>1001</v>
      </c>
      <c r="B10" s="70">
        <v>2000</v>
      </c>
      <c r="C10" s="70">
        <v>22</v>
      </c>
      <c r="D10" s="70">
        <v>384</v>
      </c>
      <c r="E10" s="70">
        <v>576</v>
      </c>
      <c r="F10" s="70">
        <v>12000</v>
      </c>
      <c r="G10" s="71" t="s">
        <v>69</v>
      </c>
    </row>
    <row r="11" spans="1:14">
      <c r="A11" s="70">
        <v>2001</v>
      </c>
      <c r="B11" s="70">
        <v>3000</v>
      </c>
      <c r="C11" s="70">
        <v>24</v>
      </c>
      <c r="D11" s="70">
        <v>576</v>
      </c>
      <c r="E11" s="70">
        <v>768</v>
      </c>
      <c r="F11" s="70">
        <v>24000</v>
      </c>
      <c r="G11" s="71" t="s">
        <v>70</v>
      </c>
    </row>
    <row r="12" spans="1:14">
      <c r="A12" s="70">
        <v>3001</v>
      </c>
      <c r="B12" s="70">
        <v>4000</v>
      </c>
      <c r="C12" s="70">
        <v>28</v>
      </c>
      <c r="D12" s="70">
        <v>768</v>
      </c>
      <c r="E12" s="70">
        <v>960</v>
      </c>
      <c r="F12" s="70">
        <v>36000</v>
      </c>
      <c r="G12" s="71" t="s">
        <v>70</v>
      </c>
    </row>
    <row r="13" spans="1:14">
      <c r="A13" s="70">
        <v>4001</v>
      </c>
      <c r="B13" s="70">
        <v>5000</v>
      </c>
      <c r="C13" s="70">
        <v>32</v>
      </c>
      <c r="D13" s="70">
        <v>960</v>
      </c>
      <c r="E13" s="70">
        <v>1152</v>
      </c>
      <c r="F13" s="70">
        <v>48000</v>
      </c>
      <c r="G13" s="71" t="s">
        <v>70</v>
      </c>
    </row>
    <row r="15" spans="1:14" ht="15" thickBot="1"/>
    <row r="16" spans="1:14">
      <c r="A16" s="56" t="s">
        <v>43</v>
      </c>
    </row>
    <row r="17" spans="1:14">
      <c r="A17" s="57" t="s">
        <v>46</v>
      </c>
      <c r="B17" s="57" t="s">
        <v>47</v>
      </c>
      <c r="C17" s="57" t="s">
        <v>48</v>
      </c>
      <c r="D17" s="57" t="s">
        <v>49</v>
      </c>
      <c r="E17" s="57" t="s">
        <v>50</v>
      </c>
      <c r="F17" s="41" t="s">
        <v>72</v>
      </c>
      <c r="G17" s="41" t="s">
        <v>67</v>
      </c>
      <c r="H17" s="32" t="s">
        <v>43</v>
      </c>
      <c r="I17" s="41" t="s">
        <v>51</v>
      </c>
      <c r="J17" s="41" t="s">
        <v>1</v>
      </c>
      <c r="K17" s="41" t="s">
        <v>52</v>
      </c>
      <c r="L17" s="41" t="s">
        <v>53</v>
      </c>
      <c r="M17" s="41" t="s">
        <v>66</v>
      </c>
      <c r="N17" s="74" t="s">
        <v>67</v>
      </c>
    </row>
    <row r="18" spans="1:14">
      <c r="A18" s="58">
        <v>1</v>
      </c>
      <c r="B18" s="58">
        <v>10</v>
      </c>
      <c r="C18" s="58">
        <v>2</v>
      </c>
      <c r="D18" s="58">
        <v>4</v>
      </c>
      <c r="E18" s="58">
        <v>8</v>
      </c>
      <c r="F18" s="58">
        <v>200</v>
      </c>
      <c r="G18" s="72">
        <v>8</v>
      </c>
      <c r="I18" s="60"/>
      <c r="J18" s="32" t="str">
        <f>IFERROR(VLOOKUP(I18,A17:G29,3,TRUE),"Немає даних")</f>
        <v>Немає даних</v>
      </c>
      <c r="K18" s="32" t="str">
        <f>IFERROR(VLOOKUP(I18,A17:G29,4,TRUE),"Немає даних")</f>
        <v>Немає даних</v>
      </c>
      <c r="L18" s="32" t="str">
        <f>IFERROR(VLOOKUP(I18,A17:G29,5,TRUE),"Немає даних")</f>
        <v>Немає даних</v>
      </c>
      <c r="M18" s="69" t="str">
        <f>IFERROR(VLOOKUP(I18,A17:G29,6,TRUE),"Немає даних")</f>
        <v>Немає даних</v>
      </c>
      <c r="N18" s="69" t="str">
        <f>IFERROR(VLOOKUP(I18,A17:G29,7,TRUE),"Немає даних")</f>
        <v>Немає даних</v>
      </c>
    </row>
    <row r="19" spans="1:14">
      <c r="A19" s="58">
        <v>11</v>
      </c>
      <c r="B19" s="58">
        <v>25</v>
      </c>
      <c r="C19" s="58">
        <v>4</v>
      </c>
      <c r="D19" s="58">
        <v>8</v>
      </c>
      <c r="E19" s="58">
        <v>12</v>
      </c>
      <c r="F19" s="58">
        <v>250</v>
      </c>
      <c r="G19" s="72">
        <v>7</v>
      </c>
    </row>
    <row r="20" spans="1:14">
      <c r="A20" s="58">
        <v>26</v>
      </c>
      <c r="B20" s="58">
        <v>50</v>
      </c>
      <c r="C20" s="58">
        <v>4</v>
      </c>
      <c r="D20" s="58">
        <v>16</v>
      </c>
      <c r="E20" s="58">
        <v>24</v>
      </c>
      <c r="F20" s="58">
        <v>300</v>
      </c>
      <c r="G20" s="72">
        <v>5</v>
      </c>
    </row>
    <row r="21" spans="1:14">
      <c r="A21" s="58">
        <v>51</v>
      </c>
      <c r="B21" s="58">
        <v>100</v>
      </c>
      <c r="C21" s="58">
        <v>6</v>
      </c>
      <c r="D21" s="58">
        <v>32</v>
      </c>
      <c r="E21" s="58">
        <v>48</v>
      </c>
      <c r="F21" s="58">
        <v>500</v>
      </c>
      <c r="G21" s="72">
        <v>4</v>
      </c>
    </row>
    <row r="22" spans="1:14">
      <c r="A22" s="58">
        <v>101</v>
      </c>
      <c r="B22" s="58">
        <v>200</v>
      </c>
      <c r="C22" s="58">
        <v>6</v>
      </c>
      <c r="D22" s="58">
        <v>48</v>
      </c>
      <c r="E22" s="58">
        <v>64</v>
      </c>
      <c r="F22" s="58">
        <v>800</v>
      </c>
      <c r="G22" s="72">
        <v>3</v>
      </c>
    </row>
    <row r="23" spans="1:14">
      <c r="A23" s="58">
        <v>201</v>
      </c>
      <c r="B23" s="58">
        <v>350</v>
      </c>
      <c r="C23" s="58">
        <v>8</v>
      </c>
      <c r="D23" s="58">
        <v>64</v>
      </c>
      <c r="E23" s="58">
        <v>96</v>
      </c>
      <c r="F23" s="58">
        <v>1400</v>
      </c>
      <c r="G23" s="72">
        <v>2</v>
      </c>
    </row>
    <row r="24" spans="1:14">
      <c r="A24" s="58">
        <v>351</v>
      </c>
      <c r="B24" s="58">
        <v>500</v>
      </c>
      <c r="C24" s="58">
        <v>8</v>
      </c>
      <c r="D24" s="58">
        <v>96</v>
      </c>
      <c r="E24" s="58">
        <v>128</v>
      </c>
      <c r="F24" s="58">
        <v>2000</v>
      </c>
      <c r="G24" s="72">
        <v>1</v>
      </c>
    </row>
    <row r="25" spans="1:14">
      <c r="A25" s="58">
        <v>501</v>
      </c>
      <c r="B25" s="58">
        <v>1000</v>
      </c>
      <c r="C25" s="58">
        <v>12</v>
      </c>
      <c r="D25" s="58">
        <v>128</v>
      </c>
      <c r="E25" s="58">
        <v>192</v>
      </c>
      <c r="F25" s="58">
        <v>4000</v>
      </c>
      <c r="G25" s="72" t="s">
        <v>68</v>
      </c>
    </row>
    <row r="26" spans="1:14">
      <c r="A26" s="58">
        <v>1001</v>
      </c>
      <c r="B26" s="58">
        <v>2000</v>
      </c>
      <c r="C26" s="58">
        <v>12</v>
      </c>
      <c r="D26" s="58">
        <v>192</v>
      </c>
      <c r="E26" s="58">
        <v>378</v>
      </c>
      <c r="F26" s="58">
        <v>12000</v>
      </c>
      <c r="G26" s="72" t="s">
        <v>69</v>
      </c>
    </row>
    <row r="27" spans="1:14">
      <c r="A27" s="58">
        <v>2001</v>
      </c>
      <c r="B27" s="58">
        <v>3000</v>
      </c>
      <c r="C27" s="58">
        <v>16</v>
      </c>
      <c r="D27" s="58">
        <v>378</v>
      </c>
      <c r="E27" s="58">
        <v>512</v>
      </c>
      <c r="F27" s="58">
        <v>36000</v>
      </c>
      <c r="G27" s="72" t="s">
        <v>70</v>
      </c>
    </row>
    <row r="28" spans="1:14">
      <c r="A28" s="58">
        <v>3001</v>
      </c>
      <c r="B28" s="58">
        <v>4000</v>
      </c>
      <c r="C28" s="58">
        <v>16</v>
      </c>
      <c r="D28" s="58">
        <v>512</v>
      </c>
      <c r="E28" s="58">
        <v>768</v>
      </c>
      <c r="F28" s="58">
        <v>64000</v>
      </c>
      <c r="G28" s="72" t="s">
        <v>70</v>
      </c>
    </row>
    <row r="29" spans="1:14">
      <c r="A29" s="58">
        <v>4001</v>
      </c>
      <c r="B29" s="58">
        <v>5000</v>
      </c>
      <c r="C29" s="58">
        <v>24</v>
      </c>
      <c r="D29" s="58">
        <v>768</v>
      </c>
      <c r="E29" s="58">
        <v>1024</v>
      </c>
      <c r="F29" s="58">
        <v>128000</v>
      </c>
      <c r="G29" s="72" t="s">
        <v>70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workbookViewId="0">
      <selection activeCell="L23" sqref="L23"/>
    </sheetView>
  </sheetViews>
  <sheetFormatPr defaultRowHeight="14.4"/>
  <cols>
    <col min="1" max="1" width="16" customWidth="1"/>
    <col min="2" max="2" width="16.109375" customWidth="1"/>
    <col min="3" max="3" width="10.77734375" customWidth="1"/>
    <col min="4" max="4" width="9" customWidth="1"/>
    <col min="5" max="5" width="9.77734375" customWidth="1"/>
    <col min="6" max="6" width="8.77734375" customWidth="1"/>
    <col min="7" max="7" width="18.44140625" customWidth="1"/>
    <col min="8" max="8" width="18.33203125" customWidth="1"/>
    <col min="10" max="10" width="7.88671875" customWidth="1"/>
    <col min="11" max="11" width="11.77734375" customWidth="1"/>
    <col min="12" max="12" width="11.21875" customWidth="1"/>
    <col min="16" max="16" width="7.44140625" customWidth="1"/>
    <col min="17" max="17" width="8.88671875" style="64"/>
    <col min="18" max="18" width="5.109375" style="64" customWidth="1"/>
    <col min="19" max="19" width="7.88671875" customWidth="1"/>
    <col min="20" max="20" width="8.44140625" style="64" customWidth="1"/>
    <col min="21" max="21" width="11.77734375" customWidth="1"/>
  </cols>
  <sheetData>
    <row r="1" spans="1:21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S1" s="64"/>
      <c r="U1" s="64"/>
    </row>
    <row r="2" spans="1:21">
      <c r="A2" s="64"/>
      <c r="H2" s="64"/>
      <c r="I2" s="64"/>
      <c r="J2" s="64"/>
      <c r="K2" s="64"/>
      <c r="L2" s="64"/>
      <c r="M2" s="64"/>
      <c r="N2" s="64"/>
      <c r="O2" s="64"/>
      <c r="P2" s="64"/>
      <c r="S2" s="64"/>
      <c r="U2" s="64"/>
    </row>
    <row r="3" spans="1:2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S3" s="64"/>
      <c r="U3" s="64"/>
    </row>
    <row r="4" spans="1:21">
      <c r="A4" s="17" t="s">
        <v>44</v>
      </c>
      <c r="B4" s="52" t="s">
        <v>0</v>
      </c>
      <c r="C4" s="75"/>
      <c r="D4" s="75" t="s">
        <v>1</v>
      </c>
      <c r="E4" s="77" t="s">
        <v>53</v>
      </c>
      <c r="F4" s="95" t="s">
        <v>28</v>
      </c>
      <c r="G4" s="95" t="s">
        <v>3</v>
      </c>
      <c r="H4" s="92" t="s">
        <v>60</v>
      </c>
      <c r="I4" s="93"/>
      <c r="J4" s="99" t="s">
        <v>61</v>
      </c>
      <c r="K4" s="99"/>
      <c r="L4" s="99" t="s">
        <v>62</v>
      </c>
      <c r="M4" s="99"/>
      <c r="N4" s="99" t="s">
        <v>63</v>
      </c>
      <c r="O4" s="99"/>
      <c r="P4" s="102" t="s">
        <v>91</v>
      </c>
      <c r="Q4" s="103"/>
      <c r="R4" s="97" t="s">
        <v>86</v>
      </c>
      <c r="S4" s="97"/>
      <c r="T4" s="98" t="s">
        <v>59</v>
      </c>
    </row>
    <row r="5" spans="1:21" ht="15" thickBot="1">
      <c r="A5" s="64" t="s">
        <v>45</v>
      </c>
      <c r="B5" s="52" t="s">
        <v>57</v>
      </c>
      <c r="C5" s="75" t="s">
        <v>82</v>
      </c>
      <c r="D5" s="75" t="s">
        <v>5</v>
      </c>
      <c r="E5" s="75" t="s">
        <v>6</v>
      </c>
      <c r="F5" s="96"/>
      <c r="G5" s="96"/>
      <c r="H5" s="75" t="s">
        <v>7</v>
      </c>
      <c r="I5" s="75" t="s">
        <v>6</v>
      </c>
      <c r="J5" s="75" t="s">
        <v>7</v>
      </c>
      <c r="K5" s="75" t="s">
        <v>6</v>
      </c>
      <c r="L5" s="75" t="s">
        <v>7</v>
      </c>
      <c r="M5" s="75" t="s">
        <v>6</v>
      </c>
      <c r="N5" s="75" t="s">
        <v>7</v>
      </c>
      <c r="O5" s="75" t="s">
        <v>6</v>
      </c>
      <c r="P5" s="82" t="s">
        <v>7</v>
      </c>
      <c r="Q5" s="82" t="s">
        <v>6</v>
      </c>
      <c r="R5" s="97"/>
      <c r="S5" s="97"/>
      <c r="T5" s="98"/>
    </row>
    <row r="6" spans="1:21" ht="15" thickBot="1">
      <c r="A6" s="51"/>
      <c r="B6" s="47" t="s">
        <v>54</v>
      </c>
      <c r="C6" s="75" t="s">
        <v>83</v>
      </c>
      <c r="D6" s="75" t="str">
        <f>IFERROR(VLOOKUP(A6,MSSQL!A2:E13,3,TRUE),"0")</f>
        <v>0</v>
      </c>
      <c r="E6" s="78" t="str">
        <f>IFERROR(VLOOKUP(A6,MSSQL!A2:E13,5,TRUE),"0")</f>
        <v>0</v>
      </c>
      <c r="F6" s="78">
        <v>1</v>
      </c>
      <c r="G6" s="46" t="s">
        <v>56</v>
      </c>
      <c r="H6" s="67" t="s">
        <v>11</v>
      </c>
      <c r="I6" s="75">
        <v>150</v>
      </c>
      <c r="J6" s="67" t="s">
        <v>11</v>
      </c>
      <c r="K6" s="76" t="s">
        <v>85</v>
      </c>
      <c r="L6" s="67" t="s">
        <v>11</v>
      </c>
      <c r="M6" s="76" t="s">
        <v>64</v>
      </c>
      <c r="N6" s="75" t="s">
        <v>84</v>
      </c>
      <c r="O6" s="76" t="s">
        <v>65</v>
      </c>
      <c r="P6" s="100"/>
      <c r="Q6" s="101"/>
      <c r="R6" s="76" t="str">
        <f>IFERROR(VLOOKUP(A6,MSSQL!A2:G13,6,TRUE),"0")</f>
        <v>0</v>
      </c>
      <c r="S6" s="79" t="s">
        <v>88</v>
      </c>
      <c r="T6" s="81" t="str">
        <f>IFERROR(VLOOKUP(A6,MSSQL!A2:G13,7,TRUE),"0")</f>
        <v>0</v>
      </c>
    </row>
    <row r="7" spans="1:21">
      <c r="A7" s="64"/>
      <c r="B7" s="2" t="s">
        <v>75</v>
      </c>
      <c r="C7" s="80">
        <f>SUMIFS($D$26:$D$37,$A$26:$A$37,"&lt;="&amp;A6,$B$26:$B$37,"&gt;="&amp;A6)</f>
        <v>0</v>
      </c>
      <c r="D7" s="76">
        <f>SUMIFS($E$26:$E$37,$A$26:$A$37,"&lt;="&amp;A6,$B$26:$B$37,"&gt;="&amp;A6)</f>
        <v>0</v>
      </c>
      <c r="E7" s="76">
        <f>SUMIFS($H$26:$H$37,$A$26:$A$37,"&lt;="&amp;A6,$B$26:$B$37,"&gt;="&amp;A6)</f>
        <v>0</v>
      </c>
      <c r="F7" s="76">
        <f>SUMIFS($C$26:$C$37,$A$26:$A$37,"&lt;="&amp;A6,$B$26:$B$37,"&gt;="&amp;A6)</f>
        <v>0</v>
      </c>
      <c r="G7" s="46" t="s">
        <v>56</v>
      </c>
      <c r="H7" s="67" t="s">
        <v>11</v>
      </c>
      <c r="I7" s="68">
        <v>150</v>
      </c>
      <c r="J7" s="64"/>
      <c r="K7" s="64"/>
      <c r="L7" s="64"/>
      <c r="M7" s="64"/>
      <c r="N7" s="64"/>
      <c r="O7" s="64"/>
      <c r="P7" s="83" t="s">
        <v>11</v>
      </c>
      <c r="Q7" s="83">
        <f>CEILING(E7*4,10)</f>
        <v>0</v>
      </c>
      <c r="R7" s="76">
        <f>SUMIFS($F$26:$F$37,$A$26:$A$37,"&lt;="&amp;A6,$B$26:$B$37,"&gt;="&amp;A6)</f>
        <v>0</v>
      </c>
      <c r="S7" s="79" t="s">
        <v>87</v>
      </c>
    </row>
    <row r="8" spans="1:21">
      <c r="A8" s="64"/>
      <c r="B8" s="5" t="s">
        <v>90</v>
      </c>
      <c r="C8" s="82">
        <f>SUMIFS($D$41:$D$49,$A$41:$A$49,"&lt;="&amp;A6,$B$41:$B$49,"&gt;="&amp;A6)</f>
        <v>0</v>
      </c>
      <c r="D8" s="76">
        <f>SUMIFS($E$41:$E$49,$A$41:$A$49,"&lt;="&amp;A6,$B$41:$B$49,"&gt;="&amp;A6)</f>
        <v>0</v>
      </c>
      <c r="E8" s="76">
        <f>SUMIFS($H$41:$H$49,$A$41:$A$49,"&lt;="&amp;A6,$B$41:$B$49,"&gt;="&amp;A6)</f>
        <v>0</v>
      </c>
      <c r="F8" s="76">
        <f>SUMIFS($C$41:$C$49,$A$41:$A$49,"&lt;="&amp;A6,$B$41:$B$49,"&gt;="&amp;A6)</f>
        <v>0</v>
      </c>
      <c r="G8" s="46" t="s">
        <v>56</v>
      </c>
      <c r="H8" s="75" t="s">
        <v>11</v>
      </c>
      <c r="I8" s="76">
        <v>150</v>
      </c>
      <c r="J8" s="64"/>
      <c r="K8" s="64"/>
      <c r="L8" s="64"/>
      <c r="M8" s="64"/>
      <c r="N8" s="64"/>
      <c r="O8" s="64"/>
      <c r="P8" s="83" t="s">
        <v>11</v>
      </c>
      <c r="Q8" s="83">
        <f>CEILING(E8*4,10)</f>
        <v>0</v>
      </c>
      <c r="R8" s="76">
        <f>SUMIFS($F$41:$F$49,$A$41:$A$49,"&lt;="&amp;A6,$B$41:$B$49,"&gt;="&amp;A6)</f>
        <v>0</v>
      </c>
      <c r="S8" s="79" t="s">
        <v>89</v>
      </c>
    </row>
    <row r="9" spans="1:21">
      <c r="A9" s="64"/>
      <c r="G9" s="64"/>
      <c r="H9" s="64"/>
      <c r="I9" s="64"/>
      <c r="J9" s="64"/>
      <c r="K9" s="64"/>
      <c r="L9" s="64"/>
      <c r="M9" s="64"/>
      <c r="N9" s="64"/>
      <c r="O9" s="64"/>
      <c r="P9" s="64"/>
      <c r="S9" s="64"/>
      <c r="U9" s="64"/>
    </row>
    <row r="12" spans="1:21" s="64" customFormat="1"/>
    <row r="13" spans="1:21" s="64" customFormat="1" ht="14.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64" customFormat="1">
      <c r="A14" s="36" t="s">
        <v>43</v>
      </c>
      <c r="B14" s="52" t="s">
        <v>0</v>
      </c>
      <c r="C14" s="84"/>
      <c r="D14" s="84" t="s">
        <v>1</v>
      </c>
      <c r="E14" s="86" t="s">
        <v>53</v>
      </c>
      <c r="F14" s="95" t="s">
        <v>28</v>
      </c>
      <c r="G14" s="95" t="s">
        <v>3</v>
      </c>
      <c r="H14" s="92" t="s">
        <v>60</v>
      </c>
      <c r="I14" s="93"/>
      <c r="J14" s="99" t="s">
        <v>61</v>
      </c>
      <c r="K14" s="99"/>
      <c r="L14" s="99" t="s">
        <v>62</v>
      </c>
      <c r="M14" s="99"/>
      <c r="N14" s="99" t="s">
        <v>63</v>
      </c>
      <c r="O14" s="99"/>
      <c r="P14" s="102" t="s">
        <v>91</v>
      </c>
      <c r="Q14" s="103"/>
      <c r="R14" s="97" t="s">
        <v>86</v>
      </c>
      <c r="S14" s="97"/>
      <c r="T14" s="98" t="s">
        <v>59</v>
      </c>
    </row>
    <row r="15" spans="1:21" s="64" customFormat="1" ht="14.4" customHeight="1" thickBot="1">
      <c r="A15" s="64" t="s">
        <v>45</v>
      </c>
      <c r="B15" s="52" t="s">
        <v>57</v>
      </c>
      <c r="C15" s="84" t="s">
        <v>82</v>
      </c>
      <c r="D15" s="84" t="s">
        <v>5</v>
      </c>
      <c r="E15" s="84" t="s">
        <v>6</v>
      </c>
      <c r="F15" s="96"/>
      <c r="G15" s="96"/>
      <c r="H15" s="84" t="s">
        <v>7</v>
      </c>
      <c r="I15" s="84" t="s">
        <v>6</v>
      </c>
      <c r="J15" s="84" t="s">
        <v>7</v>
      </c>
      <c r="K15" s="84" t="s">
        <v>6</v>
      </c>
      <c r="L15" s="84" t="s">
        <v>7</v>
      </c>
      <c r="M15" s="84" t="s">
        <v>6</v>
      </c>
      <c r="N15" s="84" t="s">
        <v>7</v>
      </c>
      <c r="O15" s="84" t="s">
        <v>6</v>
      </c>
      <c r="P15" s="84" t="s">
        <v>7</v>
      </c>
      <c r="Q15" s="84" t="s">
        <v>6</v>
      </c>
      <c r="R15" s="97"/>
      <c r="S15" s="97"/>
      <c r="T15" s="98"/>
    </row>
    <row r="16" spans="1:21" s="64" customFormat="1" ht="15" thickBot="1">
      <c r="A16" s="51"/>
      <c r="B16" s="47" t="s">
        <v>54</v>
      </c>
      <c r="C16" s="84" t="s">
        <v>83</v>
      </c>
      <c r="D16" s="84" t="str">
        <f>IFERROR(VLOOKUP(A16,MSSQL!A18:E29,3,TRUE),"0")</f>
        <v>0</v>
      </c>
      <c r="E16" s="87" t="str">
        <f>IFERROR(VLOOKUP(A16,MSSQL!A18:E29,5,TRUE),"0")</f>
        <v>0</v>
      </c>
      <c r="F16" s="87">
        <v>1</v>
      </c>
      <c r="G16" s="46" t="s">
        <v>56</v>
      </c>
      <c r="H16" s="67" t="s">
        <v>11</v>
      </c>
      <c r="I16" s="84">
        <v>150</v>
      </c>
      <c r="J16" s="67" t="s">
        <v>11</v>
      </c>
      <c r="K16" s="85" t="s">
        <v>85</v>
      </c>
      <c r="L16" s="67" t="s">
        <v>11</v>
      </c>
      <c r="M16" s="85" t="s">
        <v>64</v>
      </c>
      <c r="N16" s="84" t="s">
        <v>84</v>
      </c>
      <c r="O16" s="85" t="s">
        <v>65</v>
      </c>
      <c r="P16" s="100"/>
      <c r="Q16" s="101"/>
      <c r="R16" s="85" t="str">
        <f>IFERROR(VLOOKUP(A16,MSSQL!A18:G29,6,TRUE),"0")</f>
        <v>0</v>
      </c>
      <c r="S16" s="85" t="s">
        <v>88</v>
      </c>
      <c r="T16" s="88" t="str">
        <f>IFERROR(VLOOKUP(A16,MSSQL!A18:G29,7,TRUE),"0")</f>
        <v>0</v>
      </c>
    </row>
    <row r="17" spans="1:19">
      <c r="A17" s="64"/>
      <c r="B17" s="2" t="s">
        <v>75</v>
      </c>
      <c r="C17" s="80">
        <f>SUMIFS($D$52:$D$63,$A$52:$A$63,"&lt;="&amp;A16,$B$52:$B$63,"&gt;="&amp;A16)</f>
        <v>0</v>
      </c>
      <c r="D17" s="85">
        <f>SUMIFS($E$52:$E$63,$A$52:$A$63,"&lt;="&amp;A16,$B$52:$B$63,"&gt;="&amp;A16)</f>
        <v>0</v>
      </c>
      <c r="E17" s="85">
        <f>SUMIFS($H$52:$H$63,$A$52:$A$63,"&lt;="&amp;A16,$B$52:$B$63,"&gt;="&amp;A16)</f>
        <v>0</v>
      </c>
      <c r="F17" s="85">
        <f>SUMIFS($C$52:$C$63,$A$52:$A$63,"&lt;="&amp;A16,$B$52:$B$63,"&gt;="&amp;A16)</f>
        <v>0</v>
      </c>
      <c r="G17" s="46" t="s">
        <v>56</v>
      </c>
      <c r="H17" s="67" t="s">
        <v>11</v>
      </c>
      <c r="I17" s="68">
        <v>150</v>
      </c>
      <c r="J17" s="64"/>
      <c r="K17" s="64"/>
      <c r="L17" s="64"/>
      <c r="M17" s="64"/>
      <c r="N17" s="64"/>
      <c r="O17" s="64"/>
      <c r="P17" s="85" t="s">
        <v>11</v>
      </c>
      <c r="Q17" s="85">
        <f>CEILING(E17*4,10)</f>
        <v>0</v>
      </c>
      <c r="R17" s="85">
        <f>SUMIFS($F$52:$F$63,$A$52:$A$63,"&lt;="&amp;A16,$B$52:$B$63,"&gt;="&amp;A16)</f>
        <v>0</v>
      </c>
      <c r="S17" s="85" t="s">
        <v>87</v>
      </c>
    </row>
    <row r="18" spans="1:19">
      <c r="A18" s="64"/>
      <c r="B18" s="5" t="s">
        <v>90</v>
      </c>
      <c r="C18" s="84">
        <f>SUMIFS($D$41:$D$49,$A$41:$A$49,"&lt;="&amp;A16,$B$41:$B$49,"&gt;="&amp;A16)</f>
        <v>0</v>
      </c>
      <c r="D18" s="85">
        <f>SUMIFS($E$41:$E$49,$A$41:$A$49,"&lt;="&amp;A16,$B$41:$B$49,"&gt;="&amp;A16)</f>
        <v>0</v>
      </c>
      <c r="E18" s="85">
        <f>SUMIFS($H$41:$H$49,$A$41:$A$49,"&lt;="&amp;A16,$B$41:$B$49,"&gt;="&amp;A16)</f>
        <v>0</v>
      </c>
      <c r="F18" s="85">
        <f>SUMIFS($C$41:$C$49,$A$41:$A$49,"&lt;="&amp;A16,$B$41:$B$49,"&gt;="&amp;A16)</f>
        <v>0</v>
      </c>
      <c r="G18" s="46" t="s">
        <v>56</v>
      </c>
      <c r="H18" s="84" t="s">
        <v>11</v>
      </c>
      <c r="I18" s="85">
        <v>150</v>
      </c>
      <c r="J18" s="64"/>
      <c r="K18" s="64"/>
      <c r="L18" s="64"/>
      <c r="M18" s="64"/>
      <c r="N18" s="64"/>
      <c r="O18" s="64"/>
      <c r="P18" s="85" t="s">
        <v>11</v>
      </c>
      <c r="Q18" s="85">
        <f>CEILING(E18*4,10)</f>
        <v>0</v>
      </c>
      <c r="R18" s="85">
        <f>SUMIFS($F$41:$F$49,$A$41:$A$49,"&lt;="&amp;A16,$B$41:$B$49,"&gt;="&amp;A16)</f>
        <v>0</v>
      </c>
      <c r="S18" s="85" t="s">
        <v>89</v>
      </c>
    </row>
    <row r="19" spans="1:19" s="64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9" s="64" customFormat="1">
      <c r="B20" s="89"/>
      <c r="C20" s="9"/>
      <c r="D20" s="8"/>
      <c r="E20" s="8"/>
      <c r="F20" s="8"/>
    </row>
    <row r="21" spans="1:19" s="64" customFormat="1">
      <c r="B21" s="89"/>
      <c r="C21" s="9"/>
      <c r="D21" s="8"/>
      <c r="E21" s="8"/>
      <c r="F21" s="8"/>
    </row>
    <row r="22" spans="1:19" s="64" customFormat="1">
      <c r="B22" s="89"/>
      <c r="C22" s="9"/>
      <c r="D22" s="8"/>
      <c r="E22" s="8"/>
      <c r="F22" s="8"/>
    </row>
    <row r="24" spans="1:19">
      <c r="A24" s="16" t="s">
        <v>79</v>
      </c>
      <c r="B24" s="104" t="s">
        <v>44</v>
      </c>
      <c r="C24" s="105"/>
      <c r="D24" s="105"/>
      <c r="E24" s="105"/>
      <c r="F24" s="105"/>
      <c r="G24" s="105"/>
      <c r="H24" s="105"/>
    </row>
    <row r="25" spans="1:19">
      <c r="A25" s="57" t="s">
        <v>46</v>
      </c>
      <c r="B25" s="57" t="s">
        <v>47</v>
      </c>
      <c r="C25" s="57" t="s">
        <v>80</v>
      </c>
      <c r="D25" s="57" t="s">
        <v>76</v>
      </c>
      <c r="E25" s="57" t="s">
        <v>1</v>
      </c>
      <c r="F25" s="57" t="s">
        <v>66</v>
      </c>
      <c r="G25" s="57" t="s">
        <v>77</v>
      </c>
      <c r="H25" s="57" t="s">
        <v>78</v>
      </c>
    </row>
    <row r="26" spans="1:19">
      <c r="A26" s="5">
        <v>1</v>
      </c>
      <c r="B26" s="5">
        <v>10</v>
      </c>
      <c r="C26" s="5">
        <v>1</v>
      </c>
      <c r="D26" s="5">
        <v>2</v>
      </c>
      <c r="E26" s="5">
        <v>4</v>
      </c>
      <c r="F26" s="5">
        <v>250</v>
      </c>
      <c r="G26" s="5">
        <v>6</v>
      </c>
      <c r="H26" s="5">
        <v>8</v>
      </c>
    </row>
    <row r="27" spans="1:19">
      <c r="A27" s="5">
        <v>11</v>
      </c>
      <c r="B27" s="5">
        <v>25</v>
      </c>
      <c r="C27" s="5">
        <v>1</v>
      </c>
      <c r="D27" s="5">
        <v>2.4</v>
      </c>
      <c r="E27" s="5">
        <v>4</v>
      </c>
      <c r="F27" s="5">
        <v>250</v>
      </c>
      <c r="G27" s="5">
        <v>12</v>
      </c>
      <c r="H27" s="5">
        <v>16</v>
      </c>
    </row>
    <row r="28" spans="1:19">
      <c r="A28" s="5">
        <v>26</v>
      </c>
      <c r="B28" s="5">
        <v>50</v>
      </c>
      <c r="C28" s="5">
        <v>1</v>
      </c>
      <c r="D28" s="5">
        <v>2.4</v>
      </c>
      <c r="E28" s="5">
        <v>4</v>
      </c>
      <c r="F28" s="5">
        <v>500</v>
      </c>
      <c r="G28" s="5">
        <v>16</v>
      </c>
      <c r="H28" s="5">
        <v>24</v>
      </c>
    </row>
    <row r="29" spans="1:19">
      <c r="A29" s="5">
        <v>51</v>
      </c>
      <c r="B29" s="5">
        <v>100</v>
      </c>
      <c r="C29" s="5">
        <v>2</v>
      </c>
      <c r="D29" s="5">
        <v>2.4</v>
      </c>
      <c r="E29" s="5">
        <v>4</v>
      </c>
      <c r="F29" s="5">
        <v>500</v>
      </c>
      <c r="G29" s="5">
        <v>16</v>
      </c>
      <c r="H29" s="5">
        <v>24</v>
      </c>
    </row>
    <row r="30" spans="1:19">
      <c r="A30" s="5">
        <v>101</v>
      </c>
      <c r="B30" s="5">
        <v>200</v>
      </c>
      <c r="C30" s="5">
        <v>4</v>
      </c>
      <c r="D30" s="5">
        <v>2.4</v>
      </c>
      <c r="E30" s="5">
        <v>4</v>
      </c>
      <c r="F30" s="5">
        <v>500</v>
      </c>
      <c r="G30" s="5">
        <v>16</v>
      </c>
      <c r="H30" s="5">
        <v>24</v>
      </c>
    </row>
    <row r="31" spans="1:19">
      <c r="A31" s="5">
        <v>201</v>
      </c>
      <c r="B31" s="5">
        <v>350</v>
      </c>
      <c r="C31" s="5">
        <v>7</v>
      </c>
      <c r="D31" s="5">
        <v>2.4</v>
      </c>
      <c r="E31" s="5">
        <v>4</v>
      </c>
      <c r="F31" s="5">
        <v>500</v>
      </c>
      <c r="G31" s="5">
        <v>16</v>
      </c>
      <c r="H31" s="5">
        <v>24</v>
      </c>
    </row>
    <row r="32" spans="1:19">
      <c r="A32" s="5">
        <v>351</v>
      </c>
      <c r="B32" s="5">
        <v>500</v>
      </c>
      <c r="C32" s="5">
        <v>10</v>
      </c>
      <c r="D32" s="5">
        <v>2.4</v>
      </c>
      <c r="E32" s="5">
        <v>4</v>
      </c>
      <c r="F32" s="5">
        <v>500</v>
      </c>
      <c r="G32" s="5">
        <v>16</v>
      </c>
      <c r="H32" s="5">
        <v>24</v>
      </c>
    </row>
    <row r="33" spans="1:8">
      <c r="A33" s="5">
        <v>501</v>
      </c>
      <c r="B33" s="5">
        <v>1000</v>
      </c>
      <c r="C33" s="5">
        <v>20</v>
      </c>
      <c r="D33" s="5">
        <v>2.4</v>
      </c>
      <c r="E33" s="5">
        <v>4</v>
      </c>
      <c r="F33" s="5">
        <v>500</v>
      </c>
      <c r="G33" s="5">
        <v>16</v>
      </c>
      <c r="H33" s="5">
        <v>24</v>
      </c>
    </row>
    <row r="34" spans="1:8">
      <c r="A34" s="5">
        <v>1001</v>
      </c>
      <c r="B34" s="5">
        <v>2000</v>
      </c>
      <c r="C34" s="5">
        <v>40</v>
      </c>
      <c r="D34" s="5">
        <v>2.4</v>
      </c>
      <c r="E34" s="5">
        <v>4</v>
      </c>
      <c r="F34" s="5">
        <v>500</v>
      </c>
      <c r="G34" s="5">
        <v>16</v>
      </c>
      <c r="H34" s="5">
        <v>24</v>
      </c>
    </row>
    <row r="35" spans="1:8">
      <c r="A35" s="5">
        <v>2001</v>
      </c>
      <c r="B35" s="5">
        <v>3000</v>
      </c>
      <c r="C35" s="5">
        <v>60</v>
      </c>
      <c r="D35" s="5">
        <v>2.4</v>
      </c>
      <c r="E35" s="5">
        <v>4</v>
      </c>
      <c r="F35" s="5">
        <v>500</v>
      </c>
      <c r="G35" s="5">
        <v>16</v>
      </c>
      <c r="H35" s="5">
        <v>24</v>
      </c>
    </row>
    <row r="36" spans="1:8">
      <c r="A36" s="5">
        <v>3001</v>
      </c>
      <c r="B36" s="5">
        <v>4000</v>
      </c>
      <c r="C36" s="5">
        <v>80</v>
      </c>
      <c r="D36" s="5">
        <v>2.4</v>
      </c>
      <c r="E36" s="5">
        <v>4</v>
      </c>
      <c r="F36" s="5">
        <v>500</v>
      </c>
      <c r="G36" s="5">
        <v>16</v>
      </c>
      <c r="H36" s="5">
        <v>24</v>
      </c>
    </row>
    <row r="37" spans="1:8">
      <c r="A37" s="5">
        <v>4001</v>
      </c>
      <c r="B37" s="5">
        <v>5000</v>
      </c>
      <c r="C37" s="5">
        <v>100</v>
      </c>
      <c r="D37" s="5">
        <v>2.4</v>
      </c>
      <c r="E37" s="5">
        <v>4</v>
      </c>
      <c r="F37" s="5">
        <v>500</v>
      </c>
      <c r="G37" s="5">
        <v>16</v>
      </c>
      <c r="H37" s="5">
        <v>24</v>
      </c>
    </row>
    <row r="38" spans="1:8" ht="15" thickBot="1"/>
    <row r="39" spans="1:8" ht="15" thickBot="1">
      <c r="A39" s="91" t="s">
        <v>81</v>
      </c>
      <c r="B39" s="105" t="s">
        <v>44</v>
      </c>
      <c r="C39" s="105"/>
      <c r="D39" s="105"/>
      <c r="E39" s="105"/>
      <c r="F39" s="105"/>
      <c r="G39" s="105"/>
      <c r="H39" s="105"/>
    </row>
    <row r="40" spans="1:8">
      <c r="A40" s="90" t="s">
        <v>46</v>
      </c>
      <c r="B40" s="57" t="s">
        <v>47</v>
      </c>
      <c r="C40" s="57" t="s">
        <v>80</v>
      </c>
      <c r="D40" s="57" t="s">
        <v>76</v>
      </c>
      <c r="E40" s="57" t="s">
        <v>1</v>
      </c>
      <c r="F40" s="57" t="s">
        <v>66</v>
      </c>
      <c r="G40" s="57" t="s">
        <v>77</v>
      </c>
      <c r="H40" s="57" t="s">
        <v>78</v>
      </c>
    </row>
    <row r="41" spans="1:8">
      <c r="A41" s="5">
        <v>1</v>
      </c>
      <c r="B41" s="5">
        <v>50</v>
      </c>
      <c r="C41" s="5">
        <v>1</v>
      </c>
      <c r="D41" s="5">
        <v>2</v>
      </c>
      <c r="E41" s="5">
        <v>4</v>
      </c>
      <c r="F41" s="5">
        <v>200</v>
      </c>
      <c r="G41" s="5">
        <v>4</v>
      </c>
      <c r="H41" s="5">
        <v>6</v>
      </c>
    </row>
    <row r="42" spans="1:8">
      <c r="A42" s="5">
        <v>51</v>
      </c>
      <c r="B42" s="5">
        <v>100</v>
      </c>
      <c r="C42" s="5">
        <v>1</v>
      </c>
      <c r="D42" s="5">
        <v>2</v>
      </c>
      <c r="E42" s="5">
        <v>4</v>
      </c>
      <c r="F42" s="5">
        <v>200</v>
      </c>
      <c r="G42" s="5">
        <v>6</v>
      </c>
      <c r="H42" s="5">
        <v>8</v>
      </c>
    </row>
    <row r="43" spans="1:8">
      <c r="A43" s="5">
        <v>101</v>
      </c>
      <c r="B43" s="5">
        <v>200</v>
      </c>
      <c r="C43" s="5">
        <v>1</v>
      </c>
      <c r="D43" s="5">
        <v>2.2000000000000002</v>
      </c>
      <c r="E43" s="5">
        <v>4</v>
      </c>
      <c r="F43" s="5">
        <v>200</v>
      </c>
      <c r="G43" s="5">
        <v>8</v>
      </c>
      <c r="H43" s="5">
        <v>14</v>
      </c>
    </row>
    <row r="44" spans="1:8">
      <c r="A44" s="5">
        <v>201</v>
      </c>
      <c r="B44" s="5">
        <v>400</v>
      </c>
      <c r="C44" s="5">
        <v>1</v>
      </c>
      <c r="D44" s="5">
        <v>2.2000000000000002</v>
      </c>
      <c r="E44" s="5">
        <v>4</v>
      </c>
      <c r="F44" s="5">
        <v>200</v>
      </c>
      <c r="G44" s="5">
        <v>14</v>
      </c>
      <c r="H44" s="5">
        <v>18</v>
      </c>
    </row>
    <row r="45" spans="1:8">
      <c r="A45" s="5">
        <v>401</v>
      </c>
      <c r="B45" s="5">
        <v>800</v>
      </c>
      <c r="C45" s="5">
        <v>2</v>
      </c>
      <c r="D45" s="5">
        <v>2.2000000000000002</v>
      </c>
      <c r="E45" s="5">
        <v>4</v>
      </c>
      <c r="F45" s="5">
        <v>200</v>
      </c>
      <c r="G45" s="5">
        <v>14</v>
      </c>
      <c r="H45" s="5">
        <v>18</v>
      </c>
    </row>
    <row r="46" spans="1:8">
      <c r="A46" s="5">
        <v>801</v>
      </c>
      <c r="B46" s="5">
        <v>1600</v>
      </c>
      <c r="C46" s="5">
        <v>4</v>
      </c>
      <c r="D46" s="5">
        <v>2.2000000000000002</v>
      </c>
      <c r="E46" s="5">
        <v>4</v>
      </c>
      <c r="F46" s="5">
        <v>200</v>
      </c>
      <c r="G46" s="5">
        <v>14</v>
      </c>
      <c r="H46" s="5">
        <v>18</v>
      </c>
    </row>
    <row r="47" spans="1:8">
      <c r="A47" s="5">
        <v>1601</v>
      </c>
      <c r="B47" s="5">
        <v>3200</v>
      </c>
      <c r="C47" s="5">
        <v>8</v>
      </c>
      <c r="D47" s="5">
        <v>2.2000000000000002</v>
      </c>
      <c r="E47" s="5">
        <v>4</v>
      </c>
      <c r="F47" s="5">
        <v>200</v>
      </c>
      <c r="G47" s="5">
        <v>14</v>
      </c>
      <c r="H47" s="5">
        <v>18</v>
      </c>
    </row>
    <row r="48" spans="1:8">
      <c r="A48" s="5">
        <v>3201</v>
      </c>
      <c r="B48" s="5">
        <v>6400</v>
      </c>
      <c r="C48" s="5">
        <v>16</v>
      </c>
      <c r="D48" s="5">
        <v>2.2000000000000002</v>
      </c>
      <c r="E48" s="5">
        <v>4</v>
      </c>
      <c r="F48" s="5">
        <v>200</v>
      </c>
      <c r="G48" s="5">
        <v>14</v>
      </c>
      <c r="H48" s="5">
        <v>18</v>
      </c>
    </row>
    <row r="49" spans="1:8">
      <c r="A49" s="5">
        <v>6401</v>
      </c>
      <c r="B49" s="5">
        <v>12800</v>
      </c>
      <c r="C49" s="5">
        <v>32</v>
      </c>
      <c r="D49" s="5">
        <v>2.2000000000000002</v>
      </c>
      <c r="E49" s="5">
        <v>4</v>
      </c>
      <c r="F49" s="5">
        <v>200</v>
      </c>
      <c r="G49" s="5">
        <v>14</v>
      </c>
      <c r="H49" s="5">
        <v>18</v>
      </c>
    </row>
    <row r="51" spans="1:8">
      <c r="A51" s="16" t="s">
        <v>79</v>
      </c>
      <c r="B51" s="106" t="s">
        <v>43</v>
      </c>
      <c r="C51" s="107"/>
      <c r="D51" s="107"/>
      <c r="E51" s="107"/>
      <c r="F51" s="107"/>
      <c r="G51" s="107"/>
      <c r="H51" s="107"/>
    </row>
    <row r="52" spans="1:8">
      <c r="A52" s="90" t="s">
        <v>46</v>
      </c>
      <c r="B52" s="57" t="s">
        <v>47</v>
      </c>
      <c r="C52" s="57" t="s">
        <v>80</v>
      </c>
      <c r="D52" s="57" t="s">
        <v>76</v>
      </c>
      <c r="E52" s="57" t="s">
        <v>1</v>
      </c>
      <c r="F52" s="57" t="s">
        <v>66</v>
      </c>
      <c r="G52" s="57" t="s">
        <v>77</v>
      </c>
      <c r="H52" s="57" t="s">
        <v>78</v>
      </c>
    </row>
    <row r="53" spans="1:8">
      <c r="A53" s="5">
        <v>1</v>
      </c>
      <c r="B53" s="5">
        <v>10</v>
      </c>
      <c r="C53" s="5">
        <v>1</v>
      </c>
      <c r="D53" s="5">
        <v>2.4</v>
      </c>
      <c r="E53" s="5">
        <v>4</v>
      </c>
      <c r="F53" s="5">
        <v>250</v>
      </c>
      <c r="G53" s="5">
        <v>6</v>
      </c>
      <c r="H53" s="5">
        <v>8</v>
      </c>
    </row>
    <row r="54" spans="1:8">
      <c r="A54" s="5">
        <v>11</v>
      </c>
      <c r="B54" s="5">
        <v>25</v>
      </c>
      <c r="C54" s="5">
        <v>1</v>
      </c>
      <c r="D54" s="5">
        <v>2.4</v>
      </c>
      <c r="E54" s="5">
        <v>4</v>
      </c>
      <c r="F54" s="5">
        <v>250</v>
      </c>
      <c r="G54" s="5">
        <v>12</v>
      </c>
      <c r="H54" s="5">
        <v>16</v>
      </c>
    </row>
    <row r="55" spans="1:8">
      <c r="A55" s="5">
        <v>26</v>
      </c>
      <c r="B55" s="5">
        <v>50</v>
      </c>
      <c r="C55" s="5">
        <v>1</v>
      </c>
      <c r="D55" s="5">
        <v>2.4</v>
      </c>
      <c r="E55" s="5">
        <v>4</v>
      </c>
      <c r="F55" s="5">
        <v>1200</v>
      </c>
      <c r="G55" s="5">
        <v>24</v>
      </c>
      <c r="H55" s="5">
        <v>32</v>
      </c>
    </row>
    <row r="56" spans="1:8">
      <c r="A56" s="5">
        <v>51</v>
      </c>
      <c r="B56" s="5">
        <v>100</v>
      </c>
      <c r="C56" s="5">
        <v>2</v>
      </c>
      <c r="D56" s="5">
        <v>2.4</v>
      </c>
      <c r="E56" s="5">
        <v>4</v>
      </c>
      <c r="F56" s="5">
        <v>1200</v>
      </c>
      <c r="G56" s="5">
        <v>24</v>
      </c>
      <c r="H56" s="5">
        <v>32</v>
      </c>
    </row>
    <row r="57" spans="1:8">
      <c r="A57" s="5">
        <v>101</v>
      </c>
      <c r="B57" s="5">
        <v>200</v>
      </c>
      <c r="C57" s="5">
        <v>3</v>
      </c>
      <c r="D57" s="5">
        <v>2.4</v>
      </c>
      <c r="E57" s="5">
        <v>4</v>
      </c>
      <c r="F57" s="5">
        <v>1200</v>
      </c>
      <c r="G57" s="5">
        <v>24</v>
      </c>
      <c r="H57" s="5">
        <v>32</v>
      </c>
    </row>
    <row r="58" spans="1:8">
      <c r="A58" s="5">
        <v>201</v>
      </c>
      <c r="B58" s="5">
        <v>350</v>
      </c>
      <c r="C58" s="5">
        <v>5</v>
      </c>
      <c r="D58" s="5">
        <v>2.4</v>
      </c>
      <c r="E58" s="5">
        <v>4</v>
      </c>
      <c r="F58" s="5">
        <v>1200</v>
      </c>
      <c r="G58" s="5">
        <v>24</v>
      </c>
      <c r="H58" s="5">
        <v>32</v>
      </c>
    </row>
    <row r="59" spans="1:8">
      <c r="A59" s="5">
        <v>351</v>
      </c>
      <c r="B59" s="5">
        <v>500</v>
      </c>
      <c r="C59" s="5">
        <v>7</v>
      </c>
      <c r="D59" s="5">
        <v>2.4</v>
      </c>
      <c r="E59" s="5">
        <v>4</v>
      </c>
      <c r="F59" s="5">
        <v>1200</v>
      </c>
      <c r="G59" s="5">
        <v>24</v>
      </c>
      <c r="H59" s="5">
        <v>32</v>
      </c>
    </row>
    <row r="60" spans="1:8">
      <c r="A60" s="5">
        <v>501</v>
      </c>
      <c r="B60" s="5">
        <v>1000</v>
      </c>
      <c r="C60" s="5">
        <v>14</v>
      </c>
      <c r="D60" s="5">
        <v>2.4</v>
      </c>
      <c r="E60" s="5">
        <v>4</v>
      </c>
      <c r="F60" s="5">
        <v>1200</v>
      </c>
      <c r="G60" s="5">
        <v>24</v>
      </c>
      <c r="H60" s="5">
        <v>32</v>
      </c>
    </row>
    <row r="61" spans="1:8">
      <c r="A61" s="5">
        <v>1001</v>
      </c>
      <c r="B61" s="5">
        <v>2000</v>
      </c>
      <c r="C61" s="5">
        <v>27</v>
      </c>
      <c r="D61" s="5">
        <v>2.4</v>
      </c>
      <c r="E61" s="5">
        <v>4</v>
      </c>
      <c r="F61" s="5">
        <v>1200</v>
      </c>
      <c r="G61" s="5">
        <v>24</v>
      </c>
      <c r="H61" s="5">
        <v>32</v>
      </c>
    </row>
    <row r="62" spans="1:8">
      <c r="A62" s="5">
        <v>2000</v>
      </c>
      <c r="B62" s="5">
        <v>3000</v>
      </c>
      <c r="C62" s="5">
        <v>40</v>
      </c>
      <c r="D62" s="5">
        <v>2.4</v>
      </c>
      <c r="E62" s="5">
        <v>4</v>
      </c>
      <c r="F62" s="5">
        <v>1200</v>
      </c>
      <c r="G62" s="5">
        <v>24</v>
      </c>
      <c r="H62" s="5">
        <v>32</v>
      </c>
    </row>
    <row r="63" spans="1:8">
      <c r="A63" s="5">
        <v>3001</v>
      </c>
      <c r="B63" s="5">
        <v>4000</v>
      </c>
      <c r="C63" s="5">
        <v>54</v>
      </c>
      <c r="D63" s="5">
        <v>2.4</v>
      </c>
      <c r="E63" s="5">
        <v>4</v>
      </c>
      <c r="F63" s="5">
        <v>1200</v>
      </c>
      <c r="G63" s="5">
        <v>24</v>
      </c>
      <c r="H63" s="5">
        <v>32</v>
      </c>
    </row>
    <row r="64" spans="1:8">
      <c r="A64" s="5">
        <v>4001</v>
      </c>
      <c r="B64" s="5">
        <v>5000</v>
      </c>
      <c r="C64" s="5">
        <v>67</v>
      </c>
      <c r="D64" s="5">
        <v>2.4</v>
      </c>
      <c r="E64" s="5">
        <v>4</v>
      </c>
      <c r="F64" s="5">
        <v>1200</v>
      </c>
      <c r="G64" s="5">
        <v>24</v>
      </c>
      <c r="H64" s="5">
        <v>32</v>
      </c>
    </row>
    <row r="65" spans="1:8" ht="15" thickBot="1"/>
    <row r="66" spans="1:8" ht="15" thickBot="1">
      <c r="A66" s="91" t="s">
        <v>81</v>
      </c>
      <c r="B66" s="106" t="s">
        <v>43</v>
      </c>
      <c r="C66" s="107"/>
      <c r="D66" s="107"/>
      <c r="E66" s="107"/>
      <c r="F66" s="107"/>
      <c r="G66" s="107"/>
      <c r="H66" s="107"/>
    </row>
    <row r="67" spans="1:8">
      <c r="A67" s="90" t="s">
        <v>46</v>
      </c>
      <c r="B67" s="57" t="s">
        <v>47</v>
      </c>
      <c r="C67" s="57" t="s">
        <v>80</v>
      </c>
      <c r="D67" s="57" t="s">
        <v>76</v>
      </c>
      <c r="E67" s="57" t="s">
        <v>1</v>
      </c>
      <c r="F67" s="57" t="s">
        <v>66</v>
      </c>
      <c r="G67" s="57" t="s">
        <v>77</v>
      </c>
      <c r="H67" s="57" t="s">
        <v>78</v>
      </c>
    </row>
    <row r="68" spans="1:8">
      <c r="A68" s="5">
        <v>1</v>
      </c>
      <c r="B68" s="5">
        <v>50</v>
      </c>
      <c r="C68" s="5">
        <v>1</v>
      </c>
      <c r="D68" s="5">
        <v>2</v>
      </c>
      <c r="E68" s="5">
        <v>4</v>
      </c>
      <c r="F68" s="5">
        <v>200</v>
      </c>
      <c r="G68" s="5">
        <v>4</v>
      </c>
      <c r="H68" s="5">
        <v>6</v>
      </c>
    </row>
    <row r="69" spans="1:8">
      <c r="A69" s="5">
        <v>51</v>
      </c>
      <c r="B69" s="5">
        <v>100</v>
      </c>
      <c r="C69" s="5">
        <v>1</v>
      </c>
      <c r="D69" s="5">
        <v>2</v>
      </c>
      <c r="E69" s="5">
        <v>4</v>
      </c>
      <c r="F69" s="5">
        <v>200</v>
      </c>
      <c r="G69" s="5">
        <v>6</v>
      </c>
      <c r="H69" s="5">
        <v>8</v>
      </c>
    </row>
    <row r="70" spans="1:8">
      <c r="A70" s="5">
        <v>101</v>
      </c>
      <c r="B70" s="5">
        <v>200</v>
      </c>
      <c r="C70" s="5">
        <v>1</v>
      </c>
      <c r="D70" s="5">
        <v>2.2000000000000002</v>
      </c>
      <c r="E70" s="5">
        <v>4</v>
      </c>
      <c r="F70" s="5">
        <v>200</v>
      </c>
      <c r="G70" s="5">
        <v>8</v>
      </c>
      <c r="H70" s="5">
        <v>14</v>
      </c>
    </row>
    <row r="71" spans="1:8">
      <c r="A71" s="5">
        <v>201</v>
      </c>
      <c r="B71" s="5">
        <v>400</v>
      </c>
      <c r="C71" s="5">
        <v>1</v>
      </c>
      <c r="D71" s="5">
        <v>2.2000000000000002</v>
      </c>
      <c r="E71" s="5">
        <v>4</v>
      </c>
      <c r="F71" s="5">
        <v>200</v>
      </c>
      <c r="G71" s="5">
        <v>14</v>
      </c>
      <c r="H71" s="5">
        <v>18</v>
      </c>
    </row>
    <row r="72" spans="1:8">
      <c r="A72" s="5">
        <v>401</v>
      </c>
      <c r="B72" s="5">
        <v>800</v>
      </c>
      <c r="C72" s="5">
        <v>2</v>
      </c>
      <c r="D72" s="5">
        <v>2.2000000000000002</v>
      </c>
      <c r="E72" s="5">
        <v>4</v>
      </c>
      <c r="F72" s="5">
        <v>200</v>
      </c>
      <c r="G72" s="5">
        <v>14</v>
      </c>
      <c r="H72" s="5">
        <v>18</v>
      </c>
    </row>
    <row r="73" spans="1:8">
      <c r="A73" s="5">
        <v>801</v>
      </c>
      <c r="B73" s="5">
        <v>1600</v>
      </c>
      <c r="C73" s="5">
        <v>4</v>
      </c>
      <c r="D73" s="5">
        <v>2.2000000000000002</v>
      </c>
      <c r="E73" s="5">
        <v>4</v>
      </c>
      <c r="F73" s="5">
        <v>200</v>
      </c>
      <c r="G73" s="5">
        <v>14</v>
      </c>
      <c r="H73" s="5">
        <v>18</v>
      </c>
    </row>
    <row r="74" spans="1:8">
      <c r="A74" s="5">
        <v>1601</v>
      </c>
      <c r="B74" s="5">
        <v>3200</v>
      </c>
      <c r="C74" s="5">
        <v>8</v>
      </c>
      <c r="D74" s="5">
        <v>2.2000000000000002</v>
      </c>
      <c r="E74" s="5">
        <v>4</v>
      </c>
      <c r="F74" s="5">
        <v>200</v>
      </c>
      <c r="G74" s="5">
        <v>14</v>
      </c>
      <c r="H74" s="5">
        <v>18</v>
      </c>
    </row>
    <row r="75" spans="1:8">
      <c r="A75" s="5">
        <v>3201</v>
      </c>
      <c r="B75" s="5">
        <v>6400</v>
      </c>
      <c r="C75" s="5">
        <v>16</v>
      </c>
      <c r="D75" s="5">
        <v>2.2000000000000002</v>
      </c>
      <c r="E75" s="5">
        <v>4</v>
      </c>
      <c r="F75" s="5">
        <v>200</v>
      </c>
      <c r="G75" s="5">
        <v>14</v>
      </c>
      <c r="H75" s="5">
        <v>18</v>
      </c>
    </row>
    <row r="76" spans="1:8">
      <c r="A76" s="5">
        <v>6401</v>
      </c>
      <c r="B76" s="5">
        <v>12800</v>
      </c>
      <c r="C76" s="5">
        <v>32</v>
      </c>
      <c r="D76" s="5">
        <v>2.2000000000000002</v>
      </c>
      <c r="E76" s="5">
        <v>4</v>
      </c>
      <c r="F76" s="5">
        <v>200</v>
      </c>
      <c r="G76" s="5">
        <v>14</v>
      </c>
      <c r="H76" s="5">
        <v>18</v>
      </c>
    </row>
  </sheetData>
  <mergeCells count="24">
    <mergeCell ref="B24:H24"/>
    <mergeCell ref="B39:H39"/>
    <mergeCell ref="B51:H51"/>
    <mergeCell ref="B66:H66"/>
    <mergeCell ref="F14:F15"/>
    <mergeCell ref="G14:G15"/>
    <mergeCell ref="H14:I14"/>
    <mergeCell ref="J14:K14"/>
    <mergeCell ref="L14:M14"/>
    <mergeCell ref="N14:O14"/>
    <mergeCell ref="P16:Q16"/>
    <mergeCell ref="P14:Q14"/>
    <mergeCell ref="R14:S15"/>
    <mergeCell ref="T14:T15"/>
    <mergeCell ref="P6:Q6"/>
    <mergeCell ref="N4:O4"/>
    <mergeCell ref="T4:T5"/>
    <mergeCell ref="R4:S5"/>
    <mergeCell ref="P4:Q4"/>
    <mergeCell ref="F4:F5"/>
    <mergeCell ref="G4:G5"/>
    <mergeCell ref="H4:I4"/>
    <mergeCell ref="J4:K4"/>
    <mergeCell ref="L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Стандарт k8s</vt:lpstr>
      <vt:lpstr>Документообіг k8s</vt:lpstr>
      <vt:lpstr>MSSQL</vt:lpstr>
      <vt:lpstr>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2026-04-06T11:51:42Z</dcterms:modified>
</cp:coreProperties>
</file>